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layer" sheetId="2" state="visible" r:id="rId2"/>
    <sheet name="Weapons" sheetId="3" state="visible" r:id="rId3"/>
    <sheet name="TTK Matrix" sheetId="4" state="visible" r:id="rId4"/>
    <sheet name="Upgrades" sheetId="5" state="visible" r:id="rId5"/>
    <sheet name="Upgrade Matrix" sheetId="6" state="visible" r:id="rId6"/>
    <sheet name="Enemies" sheetId="7" state="visible" r:id="rId7"/>
    <sheet name="Spawner" sheetId="8" state="visible" r:id="rId8"/>
    <sheet name="Boss" sheetId="9" state="visible" r:id="rId9"/>
    <sheet name="Run &amp; Dungeon" sheetId="10" state="visible" r:id="rId10"/>
    <sheet name="Economy" sheetId="11" state="visible" r:id="rId11"/>
    <sheet name="Findings" sheetId="12" state="visible" r:id="rId12"/>
    <sheet name="Raw Data" sheetId="13" state="visible" r:id="rId13"/>
  </sheets>
  <definedNames>
    <definedName name="_xlnm._FilterDatabase" localSheetId="12" hidden="1">'Raw Data'!$A$4:$E$627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color rgb="00FFFFFF"/>
    </font>
    <font>
      <b val="1"/>
    </font>
    <font>
      <i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4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/>
    </xf>
    <xf numFmtId="0" fontId="0" fillId="6" borderId="0" pivotButton="0" quotePrefix="0" xfId="0"/>
    <xf numFmtId="2" fontId="0" fillId="0" borderId="1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0" fontId="0" fillId="6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1" t="inlineStr">
        <is>
          <t>1BitVed - Game Data (balancing workbook)</t>
        </is>
      </c>
    </row>
    <row r="2">
      <c r="A2" s="2" t="inlineStr">
        <is>
          <t>Generated 2026-09-28 from the Unity project. Read-only snapshot: editing cells here does NOT change the game.</t>
        </is>
      </c>
    </row>
    <row r="4">
      <c r="A4" s="3" t="inlineStr">
        <is>
          <t>What this is</t>
        </is>
      </c>
      <c r="B4" s="4" t="inlineStr">
        <is>
          <t>Every balance-relevant number in the project - player, weapons, upgrades, enemies, spawners, boss, run/dungeon settings, economy - pulled from the serialized assets (prefabs, ScriptableObjects, scenes) and from hard-coded constants/formulas in the scripts.</t>
        </is>
      </c>
    </row>
    <row r="5">
      <c r="A5" s="3" t="inlineStr">
        <is>
          <t>Where values come from</t>
        </is>
      </c>
      <c r="B5" s="4" t="inlineStr">
        <is>
          <t>Serialized values are read straight from the Unity YAML (so scene/prefab overrides are what you see, not script defaults). Hard-coded numbers and formulas were read from the C# and each row cites its source file.</t>
        </is>
      </c>
    </row>
    <row r="6">
      <c r="A6" s="3" t="inlineStr">
        <is>
          <t>Colour key</t>
        </is>
      </c>
      <c r="B6" s="4" t="inlineStr">
        <is>
          <t>Navy = header. Light blue = section. Yellow = discrepancy / thing worth checking (details on the Findings sheet). Green = editable input for what-if formulas. Grey = derived by Excel formula.</t>
        </is>
      </c>
    </row>
    <row r="7">
      <c r="A7" s="3" t="inlineStr">
        <is>
          <t>Formulas</t>
        </is>
      </c>
      <c r="B7" s="4" t="inlineStr">
        <is>
          <t>Derived columns (DPS, time-to-kill, projections, upgrade matrix) are live Excel formulas linked to the value cells, so you can change a source value and see the effect.</t>
        </is>
      </c>
    </row>
    <row r="8">
      <c r="A8" s="3" t="inlineStr">
        <is>
          <t>Not verified in play</t>
        </is>
      </c>
      <c r="B8" s="4" t="inlineStr">
        <is>
          <t>Runtime interactions (spawner scaling order, boss shield windows, shop timer behaviour) come from reading code. Treat them as informed hypotheses and confirm in Play mode.</t>
        </is>
      </c>
    </row>
    <row r="9">
      <c r="A9" s="3" t="inlineStr">
        <is>
          <t>Refresh</t>
        </is>
      </c>
      <c r="B9" s="4" t="inlineStr">
        <is>
          <t>This is a one-time extraction. If assets change, the workbook needs to be regenerated (the extraction script is not stored in the project).</t>
        </is>
      </c>
    </row>
    <row r="11">
      <c r="A11" s="5" t="inlineStr">
        <is>
          <t>Sheets</t>
        </is>
      </c>
    </row>
    <row r="12">
      <c r="A12" s="3" t="inlineStr">
        <is>
          <t>Player</t>
        </is>
      </c>
      <c r="B12" t="inlineStr">
        <is>
          <t>Health (coins), movement, dash, stomp, aggro, shooting rules, loadout</t>
        </is>
      </c>
    </row>
    <row r="13">
      <c r="A13" s="3" t="inlineStr">
        <is>
          <t>Weapons</t>
        </is>
      </c>
      <c r="B13" t="inlineStr">
        <is>
          <t>AK47 / Shotgun / Pistol stats + derived DPS</t>
        </is>
      </c>
    </row>
    <row r="14">
      <c r="A14" s="3" t="inlineStr">
        <is>
          <t>TTK Matrix</t>
        </is>
      </c>
      <c r="B14" t="inlineStr">
        <is>
          <t>Shots/seconds to kill every enemy, with editable damage inputs</t>
        </is>
      </c>
    </row>
    <row r="15">
      <c r="A15" s="3" t="inlineStr">
        <is>
          <t>Upgrades</t>
        </is>
      </c>
      <c r="B15" t="inlineStr">
        <is>
          <t>All 12 cigs by effect field, tiers, rarity scaling, shop/pack rules</t>
        </is>
      </c>
    </row>
    <row r="16">
      <c r="A16" s="3" t="inlineStr">
        <is>
          <t>Upgrade Matrix</t>
        </is>
      </c>
      <c r="B16" t="inlineStr">
        <is>
          <t>Effective values by tier x rarity</t>
        </is>
      </c>
    </row>
    <row r="17">
      <c r="A17" s="3" t="inlineStr">
        <is>
          <t>Enemies</t>
        </is>
      </c>
      <c r="B17" t="inlineStr">
        <is>
          <t>Comparison table + melee/ranged/eye/pentagram details</t>
        </is>
      </c>
    </row>
    <row r="18">
      <c r="A18" s="3" t="inlineStr">
        <is>
          <t>Spawner</t>
        </is>
      </c>
      <c r="B18" t="inlineStr">
        <is>
          <t>Roster, budget, runtime modifiers, per-level projection</t>
        </is>
      </c>
    </row>
    <row r="19">
      <c r="A19" s="3" t="inlineStr">
        <is>
          <t>Boss</t>
        </is>
      </c>
      <c r="B19" t="inlineStr">
        <is>
          <t>MiniBoss1 parameters and derived attack pattern</t>
        </is>
      </c>
    </row>
    <row r="20">
      <c r="A20" s="3" t="inlineStr">
        <is>
          <t>Run &amp; Dungeon</t>
        </is>
      </c>
      <c r="B20" t="inlineStr">
        <is>
          <t>Rooms to boss, timer, generator presets, relics, achievements</t>
        </is>
      </c>
    </row>
    <row r="21">
      <c r="A21" s="3" t="inlineStr">
        <is>
          <t>Economy</t>
        </is>
      </c>
      <c r="B21" t="inlineStr">
        <is>
          <t>Coin sources/sinks and derived expectations</t>
        </is>
      </c>
    </row>
    <row r="22">
      <c r="A22" s="3" t="inlineStr">
        <is>
          <t>Findings</t>
        </is>
      </c>
      <c r="B22" t="inlineStr">
        <is>
          <t>Discrepancies and things that affect balance</t>
        </is>
      </c>
    </row>
    <row r="23">
      <c r="A23" s="3" t="inlineStr">
        <is>
          <t>Raw Data</t>
        </is>
      </c>
      <c r="B23" t="inlineStr">
        <is>
          <t>Every remaining serialized field in long format (filterable)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4" customWidth="1" min="3" max="3"/>
    <col width="16" customWidth="1" min="4" max="4"/>
    <col width="52" customWidth="1" min="5" max="5"/>
    <col width="80" customWidth="1" min="6" max="6"/>
  </cols>
  <sheetData>
    <row r="1">
      <c r="A1" s="1" t="inlineStr">
        <is>
          <t>Player, combat &amp; economy-facing stats</t>
        </is>
      </c>
    </row>
    <row r="2">
      <c r="A2" s="2" t="inlineStr">
        <is>
          <t>Player prefab: Assets/Prefabs/Temp -Player.prefab (used by RoguelikeMode and BossArena). Scene starting values from CoinManager.</t>
        </is>
      </c>
    </row>
    <row r="4">
      <c r="A4" s="6" t="inlineStr">
        <is>
          <t>Category</t>
        </is>
      </c>
      <c r="B4" s="6" t="inlineStr">
        <is>
          <t>Parameter</t>
        </is>
      </c>
      <c r="C4" s="6" t="inlineStr">
        <is>
          <t>Value</t>
        </is>
      </c>
      <c r="D4" s="6" t="inlineStr">
        <is>
          <t>Unit</t>
        </is>
      </c>
      <c r="E4" s="6" t="inlineStr">
        <is>
          <t>Source</t>
        </is>
      </c>
      <c r="F4" s="6" t="inlineStr">
        <is>
          <t>Notes</t>
        </is>
      </c>
    </row>
    <row r="5">
      <c r="A5" s="7" t="inlineStr">
        <is>
          <t>Health</t>
        </is>
      </c>
      <c r="B5" s="7" t="inlineStr">
        <is>
          <t>Health model</t>
        </is>
      </c>
      <c r="C5" s="7" t="inlineStr">
        <is>
          <t>Coins ARE health</t>
        </is>
      </c>
      <c r="D5" s="7" t="inlineStr"/>
      <c r="E5" s="7" t="inlineStr">
        <is>
          <t>PlayerHealth.cs</t>
        </is>
      </c>
      <c r="F5" s="8" t="inlineStr">
        <is>
          <t>useCoinsAsHealth=1. Coin balance is HP; running out of coins on a hit = death.</t>
        </is>
      </c>
    </row>
    <row r="6">
      <c r="A6" s="9" t="inlineStr">
        <is>
          <t>Health</t>
        </is>
      </c>
      <c r="B6" s="9" t="inlineStr">
        <is>
          <t>coinsLostPerHit</t>
        </is>
      </c>
      <c r="C6" s="9" t="n">
        <v>30</v>
      </c>
      <c r="D6" s="9" t="inlineStr">
        <is>
          <t>coins</t>
        </is>
      </c>
      <c r="E6" s="9" t="inlineStr">
        <is>
          <t>Assets/Prefabs/Temp -Player.prefab &gt; PlayerHealth</t>
        </is>
      </c>
      <c r="F6" s="10" t="inlineStr">
        <is>
          <t>Flat cost of ANY damage source (melee, bullet, pentagram, boss). Script default is 100; prefab overrides to 30.</t>
        </is>
      </c>
    </row>
    <row r="7">
      <c r="A7" s="7" t="inlineStr">
        <is>
          <t>Health</t>
        </is>
      </c>
      <c r="B7" s="7" t="inlineStr">
        <is>
          <t>damageCooldown (i-frames after a hit)</t>
        </is>
      </c>
      <c r="C7" s="7" t="n">
        <v>1</v>
      </c>
      <c r="D7" s="7" t="inlineStr">
        <is>
          <t>s</t>
        </is>
      </c>
      <c r="E7" s="7" t="inlineStr">
        <is>
          <t>Assets/Prefabs/Temp -Player.prefab &gt; PlayerHealth</t>
        </is>
      </c>
      <c r="F7" s="8" t="inlineStr"/>
    </row>
    <row r="8">
      <c r="A8" s="7" t="inlineStr">
        <is>
          <t>Health</t>
        </is>
      </c>
      <c r="B8" s="7" t="inlineStr">
        <is>
          <t>knockbackForce</t>
        </is>
      </c>
      <c r="C8" s="7" t="n">
        <v>8</v>
      </c>
      <c r="D8" s="7" t="inlineStr">
        <is>
          <t>impulse</t>
        </is>
      </c>
      <c r="E8" s="7" t="inlineStr">
        <is>
          <t>Assets/Prefabs/Temp -Player.prefab &gt; PlayerHealth</t>
        </is>
      </c>
      <c r="F8" s="8" t="inlineStr"/>
    </row>
    <row r="9">
      <c r="A9" s="7" t="inlineStr">
        <is>
          <t>Health</t>
        </is>
      </c>
      <c r="B9" s="7" t="inlineStr">
        <is>
          <t>knockbackDuration</t>
        </is>
      </c>
      <c r="C9" s="7" t="n">
        <v>0.8</v>
      </c>
      <c r="D9" s="7" t="inlineStr">
        <is>
          <t>s</t>
        </is>
      </c>
      <c r="E9" s="7" t="inlineStr">
        <is>
          <t>Assets/Prefabs/Temp -Player.prefab &gt; PlayerHealth</t>
        </is>
      </c>
      <c r="F9" s="8" t="inlineStr">
        <is>
          <t>Field exists but is not read by ApplyKnockback (unused).</t>
        </is>
      </c>
    </row>
    <row r="10">
      <c r="A10" s="7" t="inlineStr">
        <is>
          <t>Health</t>
        </is>
      </c>
      <c r="B10" s="7" t="inlineStr">
        <is>
          <t>deathDelay (before death UI)</t>
        </is>
      </c>
      <c r="C10" s="7" t="n">
        <v>3</v>
      </c>
      <c r="D10" s="7" t="inlineStr">
        <is>
          <t>s</t>
        </is>
      </c>
      <c r="E10" s="7" t="inlineStr">
        <is>
          <t>Assets/Prefabs/Temp -Player.prefab &gt; PlayerHealth</t>
        </is>
      </c>
      <c r="F10" s="8" t="inlineStr"/>
    </row>
    <row r="11">
      <c r="A11" s="7" t="inlineStr">
        <is>
          <t>Health</t>
        </is>
      </c>
      <c r="B11" s="7" t="inlineStr">
        <is>
          <t>coinsToSpawnOnDamage</t>
        </is>
      </c>
      <c r="C11" s="7" t="n">
        <v>15</v>
      </c>
      <c r="D11" s="7" t="inlineStr">
        <is>
          <t>count</t>
        </is>
      </c>
      <c r="E11" s="7" t="inlineStr">
        <is>
          <t>Assets/Prefabs/Temp -Player.prefab &gt; PlayerHealth</t>
        </is>
      </c>
      <c r="F11" s="8" t="inlineStr">
        <is>
          <t>Visual-only coins (coin script disabled, destroyed after coinLifetime). Not recoverable by the player.</t>
        </is>
      </c>
    </row>
    <row r="12">
      <c r="A12" s="7" t="inlineStr">
        <is>
          <t>Health</t>
        </is>
      </c>
      <c r="B12" s="7" t="inlineStr">
        <is>
          <t>invincible (debug)</t>
        </is>
      </c>
      <c r="C12" s="7" t="n">
        <v>0</v>
      </c>
      <c r="D12" s="7" t="inlineStr">
        <is>
          <t>bool</t>
        </is>
      </c>
      <c r="E12" s="7" t="inlineStr">
        <is>
          <t>Assets/Prefabs/Temp -Player.prefab &gt; PlayerHealth</t>
        </is>
      </c>
      <c r="F12" s="8" t="inlineStr"/>
    </row>
    <row r="13">
      <c r="A13" s="9" t="inlineStr">
        <is>
          <t>Health</t>
        </is>
      </c>
      <c r="B13" s="9" t="inlineStr">
        <is>
          <t>invincibility toggle key / works in build</t>
        </is>
      </c>
      <c r="C13" s="9" t="inlineStr">
        <is>
          <t>KeyCode 105 (= I) / enableToggleInBuild=1</t>
        </is>
      </c>
      <c r="D13" s="9" t="inlineStr"/>
      <c r="E13" s="9" t="inlineStr">
        <is>
          <t>Assets/Prefabs/Temp -Player.prefab &gt; PlayerHealth</t>
        </is>
      </c>
      <c r="F13" s="10" t="inlineStr">
        <is>
          <t>Pressing I toggles god mode in shipping builds too.</t>
        </is>
      </c>
    </row>
    <row r="14">
      <c r="A14" s="7" t="inlineStr">
        <is>
          <t>Coins</t>
        </is>
      </c>
      <c r="B14" s="7" t="inlineStr">
        <is>
          <t>startingCoins</t>
        </is>
      </c>
      <c r="C14" s="7" t="n">
        <v>50</v>
      </c>
      <c r="D14" s="7" t="inlineStr">
        <is>
          <t>coins</t>
        </is>
      </c>
      <c r="E14" s="7" t="inlineStr">
        <is>
          <t>Assets/Scenes/RoguelikeMode.unity &gt; CoinManager</t>
        </is>
      </c>
      <c r="F14" s="8" t="inlineStr">
        <is>
          <t>Scene value (script default 0). BossArena identical.</t>
        </is>
      </c>
    </row>
    <row r="15">
      <c r="A15" s="7" t="inlineStr">
        <is>
          <t>Coins</t>
        </is>
      </c>
      <c r="B15" s="7" t="inlineStr">
        <is>
          <t>startingMaxCoins (coin cap)</t>
        </is>
      </c>
      <c r="C15" s="7" t="n">
        <v>200</v>
      </c>
      <c r="D15" s="7" t="inlineStr">
        <is>
          <t>coins</t>
        </is>
      </c>
      <c r="E15" s="7" t="inlineStr">
        <is>
          <t>Assets/Scenes/RoguelikeMode.unity &gt; CoinManager</t>
        </is>
      </c>
      <c r="F15" s="8" t="inlineStr">
        <is>
          <t>Pickups beyond the cap are discarded (AddCoins clamps).</t>
        </is>
      </c>
    </row>
    <row r="16">
      <c r="A16" s="7" t="inlineStr">
        <is>
          <t>Coins</t>
        </is>
      </c>
      <c r="B16" s="7" t="inlineStr">
        <is>
          <t>Coin value per pickup</t>
        </is>
      </c>
      <c r="C16" s="7" t="n">
        <v>1</v>
      </c>
      <c r="D16" s="7" t="inlineStr">
        <is>
          <t>coins</t>
        </is>
      </c>
      <c r="E16" s="7" t="inlineStr">
        <is>
          <t>Assets/Prefabs/Coin.prefab</t>
        </is>
      </c>
      <c r="F16" s="8" t="inlineStr"/>
    </row>
    <row r="17">
      <c r="A17" s="7" t="inlineStr">
        <is>
          <t>Coins</t>
        </is>
      </c>
      <c r="B17" s="7" t="inlineStr">
        <is>
          <t>Hits to die from starting coins (derived)</t>
        </is>
      </c>
      <c r="C17" s="7">
        <f>ROUNDUP(C14/C6,0)</f>
        <v/>
      </c>
      <c r="D17" s="7" t="inlineStr">
        <is>
          <t>hits</t>
        </is>
      </c>
      <c r="E17" s="7" t="inlineStr">
        <is>
          <t>formula</t>
        </is>
      </c>
      <c r="F17" s="8" t="inlineStr">
        <is>
          <t>Uses ROUNDUP: the final hit only needs to take you to 0.</t>
        </is>
      </c>
    </row>
    <row r="18">
      <c r="A18" s="7" t="inlineStr">
        <is>
          <t>Coins</t>
        </is>
      </c>
      <c r="B18" s="7" t="inlineStr">
        <is>
          <t>Hits to die from a full purse (derived)</t>
        </is>
      </c>
      <c r="C18" s="7">
        <f>ROUNDUP(C15/C6,0)</f>
        <v/>
      </c>
      <c r="D18" s="7" t="inlineStr">
        <is>
          <t>hits</t>
        </is>
      </c>
      <c r="E18" s="7" t="inlineStr">
        <is>
          <t>formula</t>
        </is>
      </c>
      <c r="F18" s="8" t="inlineStr"/>
    </row>
    <row r="19">
      <c r="A19" s="7" t="inlineStr">
        <is>
          <t>Coins</t>
        </is>
      </c>
      <c r="B19" s="7" t="inlineStr">
        <is>
          <t>magnetRange</t>
        </is>
      </c>
      <c r="C19" s="7" t="n">
        <v>2.6</v>
      </c>
      <c r="D19" s="7" t="inlineStr">
        <is>
          <t>u</t>
        </is>
      </c>
      <c r="E19" s="7" t="inlineStr">
        <is>
          <t>Assets/Prefabs/Temp -Player.prefab &gt; PlayerCoinCollector</t>
        </is>
      </c>
      <c r="F19" s="8" t="inlineStr"/>
    </row>
    <row r="20">
      <c r="A20" s="7" t="inlineStr">
        <is>
          <t>Coins</t>
        </is>
      </c>
      <c r="B20" s="7" t="inlineStr">
        <is>
          <t>magnetStrength</t>
        </is>
      </c>
      <c r="C20" s="7" t="n">
        <v>30</v>
      </c>
      <c r="D20" s="7" t="inlineStr">
        <is>
          <t>u/s</t>
        </is>
      </c>
      <c r="E20" s="7" t="inlineStr">
        <is>
          <t>Assets/Prefabs/Temp -Player.prefab &gt; PlayerCoinCollector</t>
        </is>
      </c>
      <c r="F20" s="8" t="inlineStr"/>
    </row>
    <row r="21">
      <c r="A21" s="7" t="inlineStr">
        <is>
          <t>Coins</t>
        </is>
      </c>
      <c r="B21" s="7" t="inlineStr">
        <is>
          <t>collectDistance</t>
        </is>
      </c>
      <c r="C21" s="7" t="n">
        <v>0.6</v>
      </c>
      <c r="D21" s="7" t="inlineStr">
        <is>
          <t>u</t>
        </is>
      </c>
      <c r="E21" s="7" t="inlineStr">
        <is>
          <t>Assets/Prefabs/Temp -Player.prefab &gt; PlayerCoinCollector</t>
        </is>
      </c>
      <c r="F21" s="8" t="inlineStr"/>
    </row>
    <row r="22">
      <c r="A22" s="7" t="inlineStr">
        <is>
          <t>Movement</t>
        </is>
      </c>
      <c r="B22" s="7" t="inlineStr">
        <is>
          <t>baseMoveSpeed</t>
        </is>
      </c>
      <c r="C22" s="7" t="n">
        <v>4</v>
      </c>
      <c r="D22" s="7" t="inlineStr">
        <is>
          <t>u/s</t>
        </is>
      </c>
      <c r="E22" s="7" t="inlineStr">
        <is>
          <t>Assets/Prefabs/Temp -Player.prefab &gt; PlayerController</t>
        </is>
      </c>
      <c r="F22" s="8" t="inlineStr">
        <is>
          <t>No speed upgrades exist in the current catalog.</t>
        </is>
      </c>
    </row>
    <row r="23">
      <c r="A23" s="7" t="inlineStr">
        <is>
          <t>Dash</t>
        </is>
      </c>
      <c r="B23" s="7" t="inlineStr">
        <is>
          <t>dashSpeed</t>
        </is>
      </c>
      <c r="C23" s="7" t="n">
        <v>20</v>
      </c>
      <c r="D23" s="7" t="inlineStr">
        <is>
          <t>u/s</t>
        </is>
      </c>
      <c r="E23" s="7" t="inlineStr">
        <is>
          <t>Assets/Prefabs/Temp -Player.prefab &gt; PlayerController</t>
        </is>
      </c>
      <c r="F23" s="8" t="inlineStr"/>
    </row>
    <row r="24">
      <c r="A24" s="7" t="inlineStr">
        <is>
          <t>Dash</t>
        </is>
      </c>
      <c r="B24" s="7" t="inlineStr">
        <is>
          <t>dashDuration</t>
        </is>
      </c>
      <c r="C24" s="7" t="n">
        <v>0.2</v>
      </c>
      <c r="D24" s="7" t="inlineStr">
        <is>
          <t>s</t>
        </is>
      </c>
      <c r="E24" s="7" t="inlineStr">
        <is>
          <t>Assets/Prefabs/Temp -Player.prefab &gt; PlayerController</t>
        </is>
      </c>
      <c r="F24" s="8" t="inlineStr"/>
    </row>
    <row r="25">
      <c r="A25" s="7" t="inlineStr">
        <is>
          <t>Dash</t>
        </is>
      </c>
      <c r="B25" s="7" t="inlineStr">
        <is>
          <t>Dash distance (derived)</t>
        </is>
      </c>
      <c r="C25" s="7">
        <f>C23*C24</f>
        <v/>
      </c>
      <c r="D25" s="7" t="inlineStr">
        <is>
          <t>u</t>
        </is>
      </c>
      <c r="E25" s="7" t="inlineStr">
        <is>
          <t>formula</t>
        </is>
      </c>
      <c r="F25" s="8" t="inlineStr">
        <is>
          <t>Shortened by walls; dash aborts if &lt;1 u of room (hard-coded).</t>
        </is>
      </c>
    </row>
    <row r="26">
      <c r="A26" s="7" t="inlineStr">
        <is>
          <t>Dash</t>
        </is>
      </c>
      <c r="B26" s="7" t="inlineStr">
        <is>
          <t>dashCooldown</t>
        </is>
      </c>
      <c r="C26" s="7" t="n">
        <v>3</v>
      </c>
      <c r="D26" s="7" t="inlineStr">
        <is>
          <t>s</t>
        </is>
      </c>
      <c r="E26" s="7" t="inlineStr">
        <is>
          <t>Assets/Prefabs/Temp -Player.prefab &gt; PlayerController</t>
        </is>
      </c>
      <c r="F26" s="8" t="inlineStr">
        <is>
          <t>Base charges = 1. Chain Dash adds charges AND adds to this cooldown; whole pool refills at once after the cooldown since last use.</t>
        </is>
      </c>
    </row>
    <row r="27">
      <c r="A27" s="7" t="inlineStr">
        <is>
          <t>Dash</t>
        </is>
      </c>
      <c r="B27" s="7" t="inlineStr">
        <is>
          <t>invulnerableDuringDash</t>
        </is>
      </c>
      <c r="C27" s="7" t="n">
        <v>1</v>
      </c>
      <c r="D27" s="7" t="inlineStr">
        <is>
          <t>bool</t>
        </is>
      </c>
      <c r="E27" s="7" t="inlineStr">
        <is>
          <t>Assets/Prefabs/Temp -Player.prefab &gt; PlayerController</t>
        </is>
      </c>
      <c r="F27" s="8" t="inlineStr">
        <is>
          <t>Also lets player pass through enemy colliders during the dash.</t>
        </is>
      </c>
    </row>
    <row r="28">
      <c r="A28" s="7" t="inlineStr">
        <is>
          <t>Dash</t>
        </is>
      </c>
      <c r="B28" s="7" t="inlineStr">
        <is>
          <t>dashPassthroughRadius</t>
        </is>
      </c>
      <c r="C28" s="7" t="n">
        <v>1</v>
      </c>
      <c r="D28" s="7" t="inlineStr">
        <is>
          <t>u</t>
        </is>
      </c>
      <c r="E28" s="7" t="inlineStr">
        <is>
          <t>Assets/Prefabs/Temp -Player.prefab &gt; PlayerController</t>
        </is>
      </c>
      <c r="F28" s="8" t="inlineStr"/>
    </row>
    <row r="29">
      <c r="A29" s="7" t="inlineStr">
        <is>
          <t>Dash</t>
        </is>
      </c>
      <c r="B29" s="7" t="inlineStr">
        <is>
          <t>dashEndClearRadius</t>
        </is>
      </c>
      <c r="C29" s="7" t="n">
        <v>1</v>
      </c>
      <c r="D29" s="7" t="inlineStr">
        <is>
          <t>u</t>
        </is>
      </c>
      <c r="E29" s="7" t="inlineStr">
        <is>
          <t>Assets/Prefabs/Temp -Player.prefab &gt; PlayerController</t>
        </is>
      </c>
      <c r="F29" s="8" t="inlineStr">
        <is>
          <t>0-damage push at dash end (always on).</t>
        </is>
      </c>
    </row>
    <row r="30">
      <c r="A30" s="7" t="inlineStr">
        <is>
          <t>Dash</t>
        </is>
      </c>
      <c r="B30" s="7" t="inlineStr">
        <is>
          <t>deflectDetectionRadius</t>
        </is>
      </c>
      <c r="C30" s="7" t="n">
        <v>1.2</v>
      </c>
      <c r="D30" s="7" t="inlineStr">
        <is>
          <t>u</t>
        </is>
      </c>
      <c r="E30" s="7" t="inlineStr">
        <is>
          <t>Assets/Prefabs/Temp -Player.prefab &gt; PlayerController</t>
        </is>
      </c>
      <c r="F30" s="8" t="inlineStr">
        <is>
          <t>Only with Dash Deflect cig.</t>
        </is>
      </c>
    </row>
    <row r="31">
      <c r="A31" s="7" t="inlineStr">
        <is>
          <t>Dash</t>
        </is>
      </c>
      <c r="B31" s="7" t="inlineStr">
        <is>
          <t>Dash AoE hit rate</t>
        </is>
      </c>
      <c r="C31" s="7" t="inlineStr">
        <is>
          <t>every physics step; damage once/enemy/dash</t>
        </is>
      </c>
      <c r="D31" s="7" t="inlineStr"/>
      <c r="E31" s="7" t="inlineStr">
        <is>
          <t>PlayerController.TickDashAoe</t>
        </is>
      </c>
      <c r="F31" s="8" t="inlineStr">
        <is>
          <t>Radius/damage/knockback come from Dash AoE cig.</t>
        </is>
      </c>
    </row>
    <row r="32">
      <c r="A32" s="7" t="inlineStr">
        <is>
          <t>Dash</t>
        </is>
      </c>
      <c r="B32" s="7" t="inlineStr">
        <is>
          <t>Bulldozer pushRadius / pushStr</t>
        </is>
      </c>
      <c r="C32" s="7" t="inlineStr">
        <is>
          <t>0.25 / 5</t>
        </is>
      </c>
      <c r="D32" s="7" t="inlineStr">
        <is>
          <t>u / force</t>
        </is>
      </c>
      <c r="E32" s="7" t="inlineStr">
        <is>
          <t>Assets/Prefabs/Temp -Player.prefab &gt; PlayerController</t>
        </is>
      </c>
      <c r="F32" s="8" t="inlineStr"/>
    </row>
    <row r="33">
      <c r="A33" s="7" t="inlineStr">
        <is>
          <t>Stomp</t>
        </is>
      </c>
      <c r="B33" s="7" t="inlineStr">
        <is>
          <t>stompDamage (base)</t>
        </is>
      </c>
      <c r="C33" s="7" t="n">
        <v>50</v>
      </c>
      <c r="D33" s="7" t="inlineStr">
        <is>
          <t>damage</t>
        </is>
      </c>
      <c r="E33" s="7" t="inlineStr">
        <is>
          <t>Assets/Prefabs/Temp -Player.prefab &gt; PlayerStompController</t>
        </is>
      </c>
      <c r="F33" s="8" t="inlineStr">
        <is>
          <t>Plus cig bonuses (flat).</t>
        </is>
      </c>
    </row>
    <row r="34">
      <c r="A34" s="7" t="inlineStr">
        <is>
          <t>Stomp</t>
        </is>
      </c>
      <c r="B34" s="7" t="inlineStr">
        <is>
          <t>stompRadius (base)</t>
        </is>
      </c>
      <c r="C34" s="7" t="n">
        <v>2.5</v>
      </c>
      <c r="D34" s="7" t="inlineStr">
        <is>
          <t>u</t>
        </is>
      </c>
      <c r="E34" s="7" t="inlineStr">
        <is>
          <t>Assets/Prefabs/Temp -Player.prefab &gt; PlayerStompController</t>
        </is>
      </c>
      <c r="F34" s="8" t="inlineStr">
        <is>
          <t>Plus cig radius bonus.</t>
        </is>
      </c>
    </row>
    <row r="35">
      <c r="A35" s="7" t="inlineStr">
        <is>
          <t>Stomp</t>
        </is>
      </c>
      <c r="B35" s="7" t="inlineStr">
        <is>
          <t>stompCooldown</t>
        </is>
      </c>
      <c r="C35" s="7" t="n">
        <v>2</v>
      </c>
      <c r="D35" s="7" t="inlineStr">
        <is>
          <t>s</t>
        </is>
      </c>
      <c r="E35" s="7" t="inlineStr">
        <is>
          <t>Assets/Prefabs/Temp -Player.prefab &gt; PlayerStompController</t>
        </is>
      </c>
      <c r="F35" s="8" t="inlineStr">
        <is>
          <t>Base charges = 1. Chain Stomp adds charges and cooldown.</t>
        </is>
      </c>
    </row>
    <row r="36">
      <c r="A36" s="7" t="inlineStr">
        <is>
          <t>Stomp</t>
        </is>
      </c>
      <c r="B36" s="7" t="inlineStr">
        <is>
          <t>stompPushBeyondRadius</t>
        </is>
      </c>
      <c r="C36" s="7" t="n">
        <v>0.5</v>
      </c>
      <c r="D36" s="7" t="inlineStr">
        <is>
          <t>u</t>
        </is>
      </c>
      <c r="E36" s="7" t="inlineStr">
        <is>
          <t>Assets/Prefabs/Temp -Player.prefab &gt; PlayerStompController</t>
        </is>
      </c>
      <c r="F36" s="8" t="inlineStr"/>
    </row>
    <row r="37">
      <c r="A37" s="7" t="inlineStr">
        <is>
          <t>Stomp</t>
        </is>
      </c>
      <c r="B37" s="7" t="inlineStr">
        <is>
          <t>stompCostCoins (enabled?)</t>
        </is>
      </c>
      <c r="C37" s="7" t="n">
        <v>0</v>
      </c>
      <c r="D37" s="7" t="inlineStr">
        <is>
          <t>bool</t>
        </is>
      </c>
      <c r="E37" s="7" t="inlineStr">
        <is>
          <t>Assets/Prefabs/Temp -Player.prefab &gt; PlayerStompController</t>
        </is>
      </c>
      <c r="F37" s="8" t="inlineStr">
        <is>
          <t>Off. If turned on, each stomp costs stompCoinCost coins (which is also HP).</t>
        </is>
      </c>
    </row>
    <row r="38">
      <c r="A38" s="7" t="inlineStr">
        <is>
          <t>Stomp</t>
        </is>
      </c>
      <c r="B38" s="7" t="inlineStr">
        <is>
          <t>stompCoinCost</t>
        </is>
      </c>
      <c r="C38" s="7" t="n">
        <v>10</v>
      </c>
      <c r="D38" s="7" t="inlineStr">
        <is>
          <t>coins</t>
        </is>
      </c>
      <c r="E38" s="7" t="inlineStr">
        <is>
          <t>Assets/Prefabs/Temp -Player.prefab &gt; PlayerStompController</t>
        </is>
      </c>
      <c r="F38" s="8" t="inlineStr">
        <is>
          <t>Inactive while stompCostCoins = 0.</t>
        </is>
      </c>
    </row>
    <row r="39">
      <c r="A39" s="7" t="inlineStr">
        <is>
          <t>Stomp</t>
        </is>
      </c>
      <c r="B39" s="7" t="inlineStr">
        <is>
          <t>stompBulletSpeed / Lifetime (Stomp Circle cig)</t>
        </is>
      </c>
      <c r="C39" s="7" t="inlineStr">
        <is>
          <t>12 / 2</t>
        </is>
      </c>
      <c r="D39" s="7" t="inlineStr">
        <is>
          <t>u/s / s</t>
        </is>
      </c>
      <c r="E39" s="7" t="inlineStr">
        <is>
          <t>Assets/Prefabs/Temp -Player.prefab &gt; PlayerStompController</t>
        </is>
      </c>
      <c r="F39" s="8" t="inlineStr"/>
    </row>
    <row r="40">
      <c r="A40" s="7" t="inlineStr">
        <is>
          <t>Stomp</t>
        </is>
      </c>
      <c r="B40" s="7" t="inlineStr">
        <is>
          <t>Stomp also destroys enemy bullets in radius</t>
        </is>
      </c>
      <c r="C40" s="7" t="inlineStr">
        <is>
          <t>yes</t>
        </is>
      </c>
      <c r="D40" s="7" t="inlineStr"/>
      <c r="E40" s="7" t="inlineStr">
        <is>
          <t>PlayerStompController.DestroyBulletsInRange</t>
        </is>
      </c>
      <c r="F40" s="8" t="inlineStr"/>
    </row>
    <row r="41">
      <c r="A41" s="7" t="inlineStr">
        <is>
          <t>Aggro</t>
        </is>
      </c>
      <c r="B41" s="7" t="inlineStr">
        <is>
          <t>Enemy activation radius</t>
        </is>
      </c>
      <c r="C41" s="7" t="n">
        <v>10</v>
      </c>
      <c r="D41" s="7" t="inlineStr">
        <is>
          <t>u</t>
        </is>
      </c>
      <c r="E41" s="7" t="inlineStr">
        <is>
          <t>Assets/Prefabs/Temp -Player.prefab &gt; ActivateEnemies</t>
        </is>
      </c>
      <c r="F41" s="8" t="inlineStr"/>
    </row>
    <row r="42">
      <c r="A42" s="7" t="inlineStr">
        <is>
          <t>Aggro</t>
        </is>
      </c>
      <c r="B42" s="7" t="inlineStr">
        <is>
          <t>maxActiveEnemies</t>
        </is>
      </c>
      <c r="C42" s="7" t="n">
        <v>30</v>
      </c>
      <c r="D42" s="7" t="inlineStr">
        <is>
          <t>count</t>
        </is>
      </c>
      <c r="E42" s="7" t="inlineStr">
        <is>
          <t>Assets/Prefabs/Temp -Player.prefab &gt; ActivateEnemies</t>
        </is>
      </c>
      <c r="F42" s="8" t="inlineStr"/>
    </row>
    <row r="43">
      <c r="A43" s="7" t="inlineStr">
        <is>
          <t>Aggro</t>
        </is>
      </c>
      <c r="B43" s="7" t="inlineStr">
        <is>
          <t>Spawner activation range</t>
        </is>
      </c>
      <c r="C43" s="7" t="n">
        <v>7</v>
      </c>
      <c r="D43" s="7" t="inlineStr">
        <is>
          <t>u</t>
        </is>
      </c>
      <c r="E43" s="7" t="inlineStr">
        <is>
          <t>Assets/Prefabs/Temp -Player.prefab &gt; ActivateEnemySpawner</t>
        </is>
      </c>
      <c r="F43" s="8" t="inlineStr">
        <is>
          <t>Spawners begin producing when the player is this close.</t>
        </is>
      </c>
    </row>
    <row r="44">
      <c r="A44" s="7" t="inlineStr">
        <is>
          <t>Shooting</t>
        </is>
      </c>
      <c r="B44" s="7" t="inlineStr">
        <is>
          <t>Shotgun base pellets</t>
        </is>
      </c>
      <c r="C44" s="7" t="n">
        <v>6</v>
      </c>
      <c r="D44" s="7" t="inlineStr">
        <is>
          <t>count</t>
        </is>
      </c>
      <c r="E44" s="7" t="inlineStr">
        <is>
          <t>PlayerConeShooter.GetDynamicPelletCount (hard-coded)</t>
        </is>
      </c>
      <c r="F44" s="8" t="inlineStr">
        <is>
          <t>Electric 'Secondary Pellet' cig adds +1..+4.</t>
        </is>
      </c>
    </row>
    <row r="45">
      <c r="A45" s="7" t="inlineStr">
        <is>
          <t>Shooting</t>
        </is>
      </c>
      <c r="B45" s="7" t="inlineStr">
        <is>
          <t>Auto-aim / pellet target tolerance</t>
        </is>
      </c>
      <c r="C45" s="7" t="n">
        <v>5</v>
      </c>
      <c r="D45" s="7" t="inlineStr">
        <is>
          <t>deg</t>
        </is>
      </c>
      <c r="E45" s="7" t="inlineStr">
        <is>
          <t>PlayerConeShooter (hard-coded)</t>
        </is>
      </c>
      <c r="F45" s="8" t="inlineStr">
        <is>
          <t>Pellet/pierce targets must be within 5 deg of the ray.</t>
        </is>
      </c>
    </row>
    <row r="46">
      <c r="A46" s="7" t="inlineStr">
        <is>
          <t>Shooting</t>
        </is>
      </c>
      <c r="B46" s="7" t="inlineStr">
        <is>
          <t>Miss spread (trail only)</t>
        </is>
      </c>
      <c r="C46" s="7" t="n">
        <v>5</v>
      </c>
      <c r="D46" s="7" t="inlineStr">
        <is>
          <t>deg</t>
        </is>
      </c>
      <c r="E46" s="7" t="inlineStr">
        <is>
          <t>PlayerConeShooter (hard-coded)</t>
        </is>
      </c>
      <c r="F46" s="8" t="inlineStr">
        <is>
          <t>Visual only.</t>
        </is>
      </c>
    </row>
    <row r="47">
      <c r="A47" s="7" t="inlineStr">
        <is>
          <t>Shooting</t>
        </is>
      </c>
      <c r="B47" s="7" t="inlineStr">
        <is>
          <t>maxBounceChainRange</t>
        </is>
      </c>
      <c r="C47" s="7" t="n">
        <v>15</v>
      </c>
      <c r="D47" s="7" t="inlineStr">
        <is>
          <t>u</t>
        </is>
      </c>
      <c r="E47" s="7" t="inlineStr">
        <is>
          <t>Assets/Prefabs/Temp -Player.prefab &gt; PlayerConeShooter</t>
        </is>
      </c>
      <c r="F47" s="8" t="inlineStr">
        <is>
          <t>Bounce chain must stay within this of the first hit.</t>
        </is>
      </c>
    </row>
    <row r="48">
      <c r="A48" s="7" t="inlineStr">
        <is>
          <t>Shooting</t>
        </is>
      </c>
      <c r="B48" s="7" t="inlineStr">
        <is>
          <t>Crit roll</t>
        </is>
      </c>
      <c r="C48" s="7" t="inlineStr">
        <is>
          <t>per hit (each pellet/bounce/pierce target)</t>
        </is>
      </c>
      <c r="D48" s="7" t="inlineStr"/>
      <c r="E48" s="7" t="inlineStr">
        <is>
          <t>PlayerConeShooter.ApplyCrit</t>
        </is>
      </c>
      <c r="F48" s="8" t="inlineStr"/>
    </row>
    <row r="49">
      <c r="A49" s="7" t="inlineStr">
        <is>
          <t>Shooting</t>
        </is>
      </c>
      <c r="B49" s="7" t="inlineStr">
        <is>
          <t>Final damage formula</t>
        </is>
      </c>
      <c r="C49" s="7" t="inlineStr">
        <is>
          <t>round((weapon.baseDamage + slotBonusDamage) * dashWindowMultiplier); crit = round(that * critMultiplier)</t>
        </is>
      </c>
      <c r="D49" s="7" t="inlineStr"/>
      <c r="E49" s="7" t="inlineStr">
        <is>
          <t>PlayerConeShooter.GetDynamicWeaponDamage</t>
        </is>
      </c>
      <c r="F49" s="8" t="inlineStr"/>
    </row>
    <row r="50">
      <c r="A50" s="7" t="inlineStr">
        <is>
          <t>Shooting</t>
        </is>
      </c>
      <c r="B50" s="7" t="inlineStr">
        <is>
          <t>Fire-rate formula</t>
        </is>
      </c>
      <c r="C50" s="7" t="inlineStr">
        <is>
          <t>interval = 1 / (weapon.fireRate * (1 + slotFireRateBonus))</t>
        </is>
      </c>
      <c r="D50" s="7" t="inlineStr"/>
      <c r="E50" s="7" t="inlineStr">
        <is>
          <t>PlayerConeShooter.GetDynamicFireRate</t>
        </is>
      </c>
      <c r="F50" s="8" t="inlineStr"/>
    </row>
    <row r="51">
      <c r="A51" s="7" t="inlineStr">
        <is>
          <t>Loadout</t>
        </is>
      </c>
      <c r="B51" s="7" t="inlineStr">
        <is>
          <t>Weapons carried</t>
        </is>
      </c>
      <c r="C51" s="7" t="inlineStr">
        <is>
          <t>AK47 (MachineGun.asset), Shotgun.asset</t>
        </is>
      </c>
      <c r="D51" s="7" t="inlineStr"/>
      <c r="E51" s="7" t="inlineStr">
        <is>
          <t>Assets/Prefabs/Temp -Player.prefab &gt; WeaponInventory</t>
        </is>
      </c>
      <c r="F51" s="8" t="inlineStr">
        <is>
          <t>Index 0 (AK47) equipped at start. Pistol.asset exists but is NOT in the loadout. Shotgun = 'secondary' slot, AK47 = 'primary'.</t>
        </is>
      </c>
    </row>
    <row r="52">
      <c r="A52" s="9" t="inlineStr">
        <is>
          <t>Loadout</t>
        </is>
      </c>
      <c r="B52" s="9" t="inlineStr">
        <is>
          <t>Weapon switch side-effect</t>
        </is>
      </c>
      <c r="C52" s="9" t="inlineStr">
        <is>
          <t>refills ALL weapon magazines</t>
        </is>
      </c>
      <c r="D52" s="9" t="inlineStr"/>
      <c r="E52" s="9" t="inlineStr">
        <is>
          <t>WeaponAmmoManager.OnWeaponSwitched</t>
        </is>
      </c>
      <c r="F52" s="10" t="inlineStr">
        <is>
          <t>Switching guns is an instant reload.</t>
        </is>
      </c>
    </row>
    <row r="53">
      <c r="A53" s="7" t="inlineStr">
        <is>
          <t>Upgrades</t>
        </is>
      </c>
      <c r="B53" s="7" t="inlineStr">
        <is>
          <t>Pack slots</t>
        </is>
      </c>
      <c r="C53" s="7" t="n">
        <v>5</v>
      </c>
      <c r="D53" s="7" t="inlineStr">
        <is>
          <t>slots</t>
        </is>
      </c>
      <c r="E53" s="7" t="inlineStr">
        <is>
          <t>Pack.MaxSlots (hard-coded)</t>
        </is>
      </c>
      <c r="F53" s="8" t="inlineStr"/>
    </row>
    <row r="54">
      <c r="A54" s="9" t="inlineStr">
        <is>
          <t>Relics</t>
        </is>
      </c>
      <c r="B54" s="9" t="inlineStr">
        <is>
          <t>coinsForDuplicateRelic</t>
        </is>
      </c>
      <c r="C54" s="9" t="n">
        <v>50</v>
      </c>
      <c r="D54" s="9" t="inlineStr">
        <is>
          <t>coins</t>
        </is>
      </c>
      <c r="E54" s="9" t="inlineStr">
        <is>
          <t>Assets/Prefabs/Temp -Player.prefab &gt; RelicManager</t>
        </is>
      </c>
      <c r="F54" s="10" t="inlineStr">
        <is>
          <t>Currently only adds to LIFETIME coin stat; the run purse is not credited (TODO in code).</t>
        </is>
      </c>
    </row>
    <row r="55">
      <c r="A55" s="7" t="inlineStr">
        <is>
          <t>Misc</t>
        </is>
      </c>
      <c r="B55" s="7" t="inlineStr">
        <is>
          <t>SimplePlayerRotation.rotationSpeed</t>
        </is>
      </c>
      <c r="C55" s="7" t="n">
        <v>720</v>
      </c>
      <c r="D55" s="7" t="inlineStr">
        <is>
          <t>deg/s</t>
        </is>
      </c>
      <c r="E55" s="7" t="inlineStr">
        <is>
          <t>Assets/Prefabs/Temp -Player.prefab</t>
        </is>
      </c>
      <c r="F55" s="8" t="inlineStr"/>
    </row>
    <row r="56">
      <c r="A56" s="7" t="inlineStr">
        <is>
          <t>Misc</t>
        </is>
      </c>
      <c r="B56" s="7" t="inlineStr">
        <is>
          <t>TutorialManager.tutorialDuration</t>
        </is>
      </c>
      <c r="C56" s="7" t="n">
        <v>5</v>
      </c>
      <c r="D56" s="7" t="inlineStr">
        <is>
          <t>s</t>
        </is>
      </c>
      <c r="E56" s="7" t="inlineStr">
        <is>
          <t>Assets/Prefabs/TutorialManager.prefab</t>
        </is>
      </c>
      <c r="F56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26" customWidth="1" min="4" max="4"/>
    <col width="10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9" customWidth="1" min="20" max="20"/>
    <col width="12" customWidth="1" min="21" max="21"/>
    <col width="12" customWidth="1" min="22" max="22"/>
    <col width="12" customWidth="1" min="23" max="23"/>
    <col width="16" customWidth="1" min="24" max="24"/>
    <col width="12" customWidth="1" min="25" max="25"/>
    <col width="12" customWidth="1" min="26" max="26"/>
    <col width="12" customWidth="1" min="27" max="27"/>
    <col width="70" customWidth="1" min="28" max="28"/>
  </cols>
  <sheetData>
    <row r="1">
      <c r="A1" s="1" t="inlineStr">
        <is>
          <t>Weapons</t>
        </is>
      </c>
    </row>
    <row r="2">
      <c r="A2" s="2" t="inlineStr">
        <is>
          <t>Source: Assets/Scripts/Weapons/*.asset (WeaponData ScriptableObjects). Grey columns are Excel formulas.</t>
        </is>
      </c>
    </row>
    <row r="4">
      <c r="A4" s="6" t="inlineStr">
        <is>
          <t>Weapon</t>
        </is>
      </c>
      <c r="B4" s="6" t="inlineStr">
        <is>
          <t>Asset</t>
        </is>
      </c>
      <c r="C4" s="6" t="inlineStr">
        <is>
          <t>Type</t>
        </is>
      </c>
      <c r="D4" s="6" t="inlineStr">
        <is>
          <t>In player loadout?</t>
        </is>
      </c>
      <c r="E4" s="6" t="inlineStr">
        <is>
          <t>fireRate (shots/s)</t>
        </is>
      </c>
      <c r="F4" s="6" t="inlineStr">
        <is>
          <t>baseDamagePerShot</t>
        </is>
      </c>
      <c r="G4" s="6" t="inlineStr">
        <is>
          <t>Pellets per shot</t>
        </is>
      </c>
      <c r="H4" s="6" t="inlineStr">
        <is>
          <t>Magazine</t>
        </is>
      </c>
      <c r="I4" s="6" t="inlineStr">
        <is>
          <t>reloadTime (s)</t>
        </is>
      </c>
      <c r="J4" s="6" t="inlineStr">
        <is>
          <t>coneAngle (deg)</t>
        </is>
      </c>
      <c r="K4" s="6" t="inlineStr">
        <is>
          <t>coneRange (u)</t>
        </is>
      </c>
      <c r="L4" s="6" t="inlineStr">
        <is>
          <t>baseWidthMult</t>
        </is>
      </c>
      <c r="M4" s="6" t="inlineStr">
        <is>
          <t>topWidthMult</t>
        </is>
      </c>
      <c r="N4" s="6" t="inlineStr">
        <is>
          <t>baseDistanceRatio</t>
        </is>
      </c>
      <c r="O4" s="6" t="inlineStr">
        <is>
          <t>shapeProfile</t>
        </is>
      </c>
      <c r="P4" s="6" t="inlineStr">
        <is>
          <t>expansionCurve</t>
        </is>
      </c>
      <c r="Q4" s="6" t="inlineStr">
        <is>
          <t>maxPierceCount</t>
        </is>
      </c>
      <c r="R4" s="6" t="inlineStr">
        <is>
          <t>recoilStrength</t>
        </is>
      </c>
      <c r="S4" s="6" t="inlineStr">
        <is>
          <t>playerKnockback</t>
        </is>
      </c>
      <c r="T4" s="6" t="inlineStr">
        <is>
          <t>infinite reserve</t>
        </is>
      </c>
      <c r="U4" s="6" t="inlineStr">
        <is>
          <t>Time to empty mag (s)</t>
        </is>
      </c>
      <c r="V4" s="6" t="inlineStr">
        <is>
          <t>Damage per target per shot</t>
        </is>
      </c>
      <c r="W4" s="6" t="inlineStr">
        <is>
          <t>Max targets per shot</t>
        </is>
      </c>
      <c r="X4" s="6" t="inlineStr">
        <is>
          <t>Sustained DPS vs 1 target (incl. reload)</t>
        </is>
      </c>
      <c r="Y4" s="6" t="inlineStr">
        <is>
          <t>Burst DPS vs 1 target</t>
        </is>
      </c>
      <c r="Z4" s="6" t="inlineStr">
        <is>
          <t>Half-angle at base (deg)</t>
        </is>
      </c>
      <c r="AA4" s="6" t="inlineStr">
        <is>
          <t>Half-angle at max range (deg)</t>
        </is>
      </c>
      <c r="AB4" s="6" t="inlineStr">
        <is>
          <t>Notes</t>
        </is>
      </c>
    </row>
    <row r="5">
      <c r="A5" s="7" t="inlineStr">
        <is>
          <t>AK47</t>
        </is>
      </c>
      <c r="B5" s="7" t="inlineStr">
        <is>
          <t>Assets/Scripts/Weapons/MachineGun.asset</t>
        </is>
      </c>
      <c r="C5" s="7" t="inlineStr">
        <is>
          <t>Standard</t>
        </is>
      </c>
      <c r="D5" s="7" t="inlineStr">
        <is>
          <t>YES (primary, equipped at start)</t>
        </is>
      </c>
      <c r="E5" s="7" t="n">
        <v>10</v>
      </c>
      <c r="F5" s="7" t="n">
        <v>25</v>
      </c>
      <c r="G5" s="7" t="n">
        <v>1</v>
      </c>
      <c r="H5" s="7" t="n">
        <v>60</v>
      </c>
      <c r="I5" s="7" t="n">
        <v>0.8</v>
      </c>
      <c r="J5" s="7" t="n">
        <v>25</v>
      </c>
      <c r="K5" s="7" t="n">
        <v>30</v>
      </c>
      <c r="L5" s="7" t="n">
        <v>1</v>
      </c>
      <c r="M5" s="7" t="n">
        <v>0.45</v>
      </c>
      <c r="N5" s="7" t="n">
        <v>0.08</v>
      </c>
      <c r="O5" s="7" t="inlineStr">
        <is>
          <t>Linear</t>
        </is>
      </c>
      <c r="P5" s="7" t="n">
        <v>1</v>
      </c>
      <c r="Q5" s="7" t="n">
        <v>3</v>
      </c>
      <c r="R5" s="7" t="n">
        <v>0</v>
      </c>
      <c r="S5" s="7" t="n">
        <v>0</v>
      </c>
      <c r="T5" s="7" t="n">
        <v>1</v>
      </c>
      <c r="U5" s="11">
        <f>H5/E5</f>
        <v/>
      </c>
      <c r="V5" s="11">
        <f>F5</f>
        <v/>
      </c>
      <c r="W5" s="11" t="n">
        <v>1</v>
      </c>
      <c r="X5" s="11">
        <f>H5*F5/(H5/E5+I5)</f>
        <v/>
      </c>
      <c r="Y5" s="11">
        <f>E5*F5</f>
        <v/>
      </c>
      <c r="Z5" s="11">
        <f>J5*L5</f>
        <v/>
      </c>
      <c r="AA5" s="11">
        <f>J5*M5</f>
        <v/>
      </c>
      <c r="AB5" s="8" t="inlineStr">
        <is>
          <t>Standard: damages ONLY the closest target in cone, 1 ammo per shot.</t>
        </is>
      </c>
    </row>
    <row r="6">
      <c r="A6" s="7" t="inlineStr">
        <is>
          <t>Shotgun</t>
        </is>
      </c>
      <c r="B6" s="7" t="inlineStr">
        <is>
          <t>Assets/Scripts/Weapons/Shotgun.asset</t>
        </is>
      </c>
      <c r="C6" s="7" t="inlineStr">
        <is>
          <t>Shotgun</t>
        </is>
      </c>
      <c r="D6" s="7" t="inlineStr">
        <is>
          <t>YES (secondary)</t>
        </is>
      </c>
      <c r="E6" s="7" t="n">
        <v>3</v>
      </c>
      <c r="F6" s="7" t="n">
        <v>150</v>
      </c>
      <c r="G6" s="7">
        <f>Player!$C$44</f>
        <v/>
      </c>
      <c r="H6" s="7" t="n">
        <v>2</v>
      </c>
      <c r="I6" s="7" t="n">
        <v>1</v>
      </c>
      <c r="J6" s="7" t="n">
        <v>20</v>
      </c>
      <c r="K6" s="7" t="n">
        <v>30</v>
      </c>
      <c r="L6" s="7" t="n">
        <v>1</v>
      </c>
      <c r="M6" s="7" t="n">
        <v>0.535</v>
      </c>
      <c r="N6" s="7" t="n">
        <v>0.08</v>
      </c>
      <c r="O6" s="7" t="inlineStr">
        <is>
          <t>Linear</t>
        </is>
      </c>
      <c r="P6" s="7" t="n">
        <v>1</v>
      </c>
      <c r="Q6" s="7" t="n">
        <v>3</v>
      </c>
      <c r="R6" s="7" t="n">
        <v>1</v>
      </c>
      <c r="S6" s="7" t="n">
        <v>10</v>
      </c>
      <c r="T6" s="7" t="n">
        <v>1</v>
      </c>
      <c r="U6" s="11">
        <f>H6/E6</f>
        <v/>
      </c>
      <c r="V6" s="11">
        <f>F6</f>
        <v/>
      </c>
      <c r="W6" s="11">
        <f>G6</f>
        <v/>
      </c>
      <c r="X6" s="11">
        <f>H6*F6/(H6/E6+I6)</f>
        <v/>
      </c>
      <c r="Y6" s="11">
        <f>E6*F6</f>
        <v/>
      </c>
      <c r="Z6" s="11">
        <f>J6*L6</f>
        <v/>
      </c>
      <c r="AA6" s="11">
        <f>J6*M6</f>
        <v/>
      </c>
      <c r="AB6" s="8" t="inlineStr">
        <is>
          <t>Each pellet hits a different target; one enemy takes at most ONE pellet per shot. 1 ammo per blast. Bonus pellets only add extra targets.</t>
        </is>
      </c>
    </row>
    <row r="7">
      <c r="A7" s="7" t="inlineStr">
        <is>
          <t>Pistol</t>
        </is>
      </c>
      <c r="B7" s="7" t="inlineStr">
        <is>
          <t>Assets/Scripts/Weapons/Pistol.asset</t>
        </is>
      </c>
      <c r="C7" s="7" t="inlineStr">
        <is>
          <t>Piercer</t>
        </is>
      </c>
      <c r="D7" s="7" t="inlineStr">
        <is>
          <t>NO (asset exists, not in WeaponInventory)</t>
        </is>
      </c>
      <c r="E7" s="7" t="n">
        <v>2</v>
      </c>
      <c r="F7" s="7" t="n">
        <v>100</v>
      </c>
      <c r="G7" s="7" t="n">
        <v>1</v>
      </c>
      <c r="H7" s="7" t="n">
        <v>12</v>
      </c>
      <c r="I7" s="7" t="n">
        <v>0.5</v>
      </c>
      <c r="J7" s="7" t="n">
        <v>15</v>
      </c>
      <c r="K7" s="7" t="n">
        <v>30</v>
      </c>
      <c r="L7" s="7" t="n">
        <v>1</v>
      </c>
      <c r="M7" s="7" t="n">
        <v>0.7</v>
      </c>
      <c r="N7" s="7" t="n">
        <v>0.08</v>
      </c>
      <c r="O7" s="7" t="inlineStr">
        <is>
          <t>Linear</t>
        </is>
      </c>
      <c r="P7" s="7" t="n">
        <v>1</v>
      </c>
      <c r="Q7" s="7" t="n">
        <v>10</v>
      </c>
      <c r="R7" s="7" t="n">
        <v>0</v>
      </c>
      <c r="S7" s="7" t="n">
        <v>0</v>
      </c>
      <c r="T7" s="7" t="n">
        <v>1</v>
      </c>
      <c r="U7" s="11">
        <f>H7/E7</f>
        <v/>
      </c>
      <c r="V7" s="11">
        <f>F7</f>
        <v/>
      </c>
      <c r="W7" s="11">
        <f>Q7</f>
        <v/>
      </c>
      <c r="X7" s="11">
        <f>H7*F7/(H7/E7+I7)</f>
        <v/>
      </c>
      <c r="Y7" s="11">
        <f>E7*F7</f>
        <v/>
      </c>
      <c r="Z7" s="11">
        <f>J7*L7</f>
        <v/>
      </c>
      <c r="AA7" s="11">
        <f>J7*M7</f>
        <v/>
      </c>
      <c r="AB7" s="8" t="inlineStr">
        <is>
          <t>Piercer: damage hits up to maxPierceCount targets in a line.</t>
        </is>
      </c>
    </row>
    <row r="9">
      <c r="A9" s="12" t="inlineStr">
        <is>
          <t>How weapon numbers are used (from code)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</row>
    <row r="10">
      <c r="A10" s="14" t="inlineStr">
        <is>
          <t>Every weapon is hitscan: damage is applied instantly when the shot fires; bullet visuals are cosmetic (bulletSpeed=100 on the shooter).</t>
        </is>
      </c>
    </row>
    <row r="11">
      <c r="A11" s="14" t="inlineStr">
        <is>
          <t>Targets must be inside a trapezoid cone: half-angle goes from coneAngle*baseWidthMult (at coneRange*baseDistanceRatio) to coneAngle*topWidthMult (at coneRange), shaped by shapeProfile. With the current assets topWidthMult &lt; baseWidthMult, so cones TAPER with distance.</t>
        </is>
      </c>
    </row>
    <row r="12">
      <c r="A12" s="14" t="inlineStr">
        <is>
          <t>Fire interval = 1/fireRate, but shooting runs in FixedUpdate (0.02 s), so very high fire rates quantize to physics ticks.</t>
        </is>
      </c>
    </row>
    <row r="13">
      <c r="A13" s="14" t="inlineStr">
        <is>
          <t>Auto-reload when the magazine is empty; R reloads manually. reloadTime is the full refill time. Ammo reserve is infinite for all weapons.</t>
        </is>
      </c>
    </row>
    <row r="14">
      <c r="A14" s="14" t="inlineStr">
        <is>
          <t>Piercer (Pistol) applies damage to every enemy in its line up to maxPierceCount; Standard ignores maxPierceCount; Shotgun ignores it too.</t>
        </is>
      </c>
    </row>
    <row r="15">
      <c r="A15" s="14" t="inlineStr">
        <is>
          <t>Upgrade hooks: slot bonus damage (+flat, Regular brand), crit chance/multiplier (Mild), fire-rate % (Electric), bonus pellets (Electric, shotgun only), bounce chains (Regular).</t>
        </is>
      </c>
    </row>
    <row r="16">
      <c r="A16" s="14" t="inlineStr">
        <is>
          <t>Bounce chain: after the first hit, jumps to nearest un-hit enemy within coneRange of the current hop AND within 15 u of the first hit; each hop deals full damage and rolls its own crit.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1" customWidth="1" min="3" max="3"/>
    <col width="11" customWidth="1" min="4" max="4"/>
    <col width="11" customWidth="1" min="5" max="5"/>
    <col width="11" customWidth="1" min="6" max="6"/>
    <col width="13" customWidth="1" min="7" max="7"/>
    <col width="12" customWidth="1" min="8" max="8"/>
    <col width="16" customWidth="1" min="9" max="9"/>
  </cols>
  <sheetData>
    <row r="1">
      <c r="A1" s="1" t="inlineStr">
        <is>
          <t>Time-to-kill matrix (editable inputs in green)</t>
        </is>
      </c>
    </row>
    <row r="2">
      <c r="A2" s="2" t="inlineStr">
        <is>
          <t>Shots and seconds a single weapon needs to kill each enemy, from Weapons + Enemies sheets. Ignores crits, misses and reloads unless stated.</t>
        </is>
      </c>
    </row>
    <row r="4">
      <c r="A4" t="inlineStr">
        <is>
          <t>Flat bonus damage (Regular-brand cig, slot bonus)</t>
        </is>
      </c>
      <c r="C4" s="15" t="n">
        <v>0</v>
      </c>
    </row>
    <row r="5">
      <c r="A5" t="inlineStr">
        <is>
          <t>Damage multiplier (Dash post-damage window, 1 = none)</t>
        </is>
      </c>
      <c r="C5" s="15" t="n">
        <v>1</v>
      </c>
    </row>
    <row r="6">
      <c r="A6" t="inlineStr">
        <is>
          <t>Fire-rate bonus (Electric cig, 0.45 = +45%)</t>
        </is>
      </c>
      <c r="C6" s="15" t="n">
        <v>0</v>
      </c>
    </row>
    <row r="8">
      <c r="A8" s="12" t="inlineStr">
        <is>
          <t>Shots to kill (ROUNDUP(HP / damage))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</row>
    <row r="9">
      <c r="A9" s="6" t="inlineStr">
        <is>
          <t>Weapon</t>
        </is>
      </c>
      <c r="B9" s="6" t="inlineStr">
        <is>
          <t>Effective dmg / shot</t>
        </is>
      </c>
      <c r="C9" s="6" t="inlineStr">
        <is>
          <t>Enemy 1</t>
        </is>
      </c>
      <c r="D9" s="6" t="inlineStr">
        <is>
          <t>Enemy 2</t>
        </is>
      </c>
      <c r="E9" s="6" t="inlineStr">
        <is>
          <t>Enemy 3</t>
        </is>
      </c>
      <c r="F9" s="6" t="inlineStr">
        <is>
          <t>Ranged</t>
        </is>
      </c>
      <c r="G9" s="6" t="inlineStr">
        <is>
          <t>Cthulhu Eye</t>
        </is>
      </c>
      <c r="H9" s="6" t="inlineStr">
        <is>
          <t>Boss shield</t>
        </is>
      </c>
      <c r="I9" s="6" t="inlineStr">
        <is>
          <t>Boss HP</t>
        </is>
      </c>
      <c r="J9" s="6" t="inlineStr">
        <is>
          <t>Spawner (300 HP)</t>
        </is>
      </c>
    </row>
    <row r="10">
      <c r="A10" s="7" t="inlineStr">
        <is>
          <t>AK47</t>
        </is>
      </c>
      <c r="B10" s="7">
        <f>ROUND((Weapons!F5+$C$4)*$C$5,0)</f>
        <v/>
      </c>
      <c r="C10" s="7">
        <f>ROUNDUP(Enemies!$E$5/$B10,0)</f>
        <v/>
      </c>
      <c r="D10" s="7">
        <f>ROUNDUP(Enemies!$E$6/$B10,0)</f>
        <v/>
      </c>
      <c r="E10" s="7">
        <f>ROUNDUP(Enemies!$E$7/$B10,0)</f>
        <v/>
      </c>
      <c r="F10" s="7">
        <f>ROUNDUP(Enemies!$E$9/$B10,0)</f>
        <v/>
      </c>
      <c r="G10" s="7">
        <f>ROUNDUP(Enemies!$E$10/$B10,0)</f>
        <v/>
      </c>
      <c r="H10" s="7">
        <f>ROUNDUP(1000/$B10,0)</f>
        <v/>
      </c>
      <c r="I10" s="7">
        <f>ROUNDUP(Enemies!$E$11/$B10,0)</f>
        <v/>
      </c>
      <c r="J10" s="7">
        <f>ROUNDUP(300/$B10,0)</f>
        <v/>
      </c>
    </row>
    <row r="11">
      <c r="A11" s="7" t="inlineStr">
        <is>
          <t>Shotgun</t>
        </is>
      </c>
      <c r="B11" s="7">
        <f>ROUND((Weapons!F6+$C$4)*$C$5,0)</f>
        <v/>
      </c>
      <c r="C11" s="7">
        <f>ROUNDUP(Enemies!$E$5/$B11,0)</f>
        <v/>
      </c>
      <c r="D11" s="7">
        <f>ROUNDUP(Enemies!$E$6/$B11,0)</f>
        <v/>
      </c>
      <c r="E11" s="7">
        <f>ROUNDUP(Enemies!$E$7/$B11,0)</f>
        <v/>
      </c>
      <c r="F11" s="7">
        <f>ROUNDUP(Enemies!$E$9/$B11,0)</f>
        <v/>
      </c>
      <c r="G11" s="7">
        <f>ROUNDUP(Enemies!$E$10/$B11,0)</f>
        <v/>
      </c>
      <c r="H11" s="7">
        <f>ROUNDUP(1000/$B11,0)</f>
        <v/>
      </c>
      <c r="I11" s="7">
        <f>ROUNDUP(Enemies!$E$11/$B11,0)</f>
        <v/>
      </c>
      <c r="J11" s="7">
        <f>ROUNDUP(300/$B11,0)</f>
        <v/>
      </c>
    </row>
    <row r="12">
      <c r="A12" s="7" t="inlineStr">
        <is>
          <t>Pistol</t>
        </is>
      </c>
      <c r="B12" s="7">
        <f>ROUND((Weapons!F7+$C$4)*$C$5,0)</f>
        <v/>
      </c>
      <c r="C12" s="7">
        <f>ROUNDUP(Enemies!$E$5/$B12,0)</f>
        <v/>
      </c>
      <c r="D12" s="7">
        <f>ROUNDUP(Enemies!$E$6/$B12,0)</f>
        <v/>
      </c>
      <c r="E12" s="7">
        <f>ROUNDUP(Enemies!$E$7/$B12,0)</f>
        <v/>
      </c>
      <c r="F12" s="7">
        <f>ROUNDUP(Enemies!$E$9/$B12,0)</f>
        <v/>
      </c>
      <c r="G12" s="7">
        <f>ROUNDUP(Enemies!$E$10/$B12,0)</f>
        <v/>
      </c>
      <c r="H12" s="7">
        <f>ROUNDUP(1000/$B12,0)</f>
        <v/>
      </c>
      <c r="I12" s="7">
        <f>ROUNDUP(Enemies!$E$11/$B12,0)</f>
        <v/>
      </c>
      <c r="J12" s="7">
        <f>ROUNDUP(300/$B12,0)</f>
        <v/>
      </c>
    </row>
    <row r="14">
      <c r="A14" s="12" t="inlineStr">
        <is>
          <t>Seconds to kill (first shot instant; excludes reloads)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</row>
    <row r="15">
      <c r="A15" s="6" t="inlineStr">
        <is>
          <t>Weapon</t>
        </is>
      </c>
      <c r="B15" s="6" t="inlineStr">
        <is>
          <t>Effective dmg / shot</t>
        </is>
      </c>
      <c r="C15" s="6" t="inlineStr">
        <is>
          <t>Enemy 1</t>
        </is>
      </c>
      <c r="D15" s="6" t="inlineStr">
        <is>
          <t>Enemy 2</t>
        </is>
      </c>
      <c r="E15" s="6" t="inlineStr">
        <is>
          <t>Enemy 3</t>
        </is>
      </c>
      <c r="F15" s="6" t="inlineStr">
        <is>
          <t>Ranged</t>
        </is>
      </c>
      <c r="G15" s="6" t="inlineStr">
        <is>
          <t>Cthulhu Eye</t>
        </is>
      </c>
      <c r="H15" s="6" t="inlineStr">
        <is>
          <t>Boss shield</t>
        </is>
      </c>
      <c r="I15" s="6" t="inlineStr">
        <is>
          <t>Boss HP</t>
        </is>
      </c>
      <c r="J15" s="6" t="inlineStr">
        <is>
          <t>Spawner (300 HP)</t>
        </is>
      </c>
    </row>
    <row r="16">
      <c r="A16" s="7" t="inlineStr">
        <is>
          <t>AK47</t>
        </is>
      </c>
      <c r="B16" s="7">
        <f>B10</f>
        <v/>
      </c>
      <c r="C16" s="16">
        <f>(C10-1)/(Weapons!E5*(1+$C$6))</f>
        <v/>
      </c>
      <c r="D16" s="16">
        <f>(D10-1)/(Weapons!E5*(1+$C$6))</f>
        <v/>
      </c>
      <c r="E16" s="16">
        <f>(E10-1)/(Weapons!E5*(1+$C$6))</f>
        <v/>
      </c>
      <c r="F16" s="16">
        <f>(F10-1)/(Weapons!E5*(1+$C$6))</f>
        <v/>
      </c>
      <c r="G16" s="16">
        <f>(G10-1)/(Weapons!E5*(1+$C$6))</f>
        <v/>
      </c>
      <c r="H16" s="16">
        <f>(H10-1)/(Weapons!E5*(1+$C$6))</f>
        <v/>
      </c>
      <c r="I16" s="16">
        <f>(I10-1)/(Weapons!E5*(1+$C$6))</f>
        <v/>
      </c>
      <c r="J16" s="16">
        <f>(J10-1)/(Weapons!E5*(1+$C$6))</f>
        <v/>
      </c>
    </row>
    <row r="17">
      <c r="A17" s="7" t="inlineStr">
        <is>
          <t>Shotgun</t>
        </is>
      </c>
      <c r="B17" s="7">
        <f>B11</f>
        <v/>
      </c>
      <c r="C17" s="16">
        <f>(C11-1)/(Weapons!E6*(1+$C$6))</f>
        <v/>
      </c>
      <c r="D17" s="16">
        <f>(D11-1)/(Weapons!E6*(1+$C$6))</f>
        <v/>
      </c>
      <c r="E17" s="16">
        <f>(E11-1)/(Weapons!E6*(1+$C$6))</f>
        <v/>
      </c>
      <c r="F17" s="16">
        <f>(F11-1)/(Weapons!E6*(1+$C$6))</f>
        <v/>
      </c>
      <c r="G17" s="16">
        <f>(G11-1)/(Weapons!E6*(1+$C$6))</f>
        <v/>
      </c>
      <c r="H17" s="16">
        <f>(H11-1)/(Weapons!E6*(1+$C$6))</f>
        <v/>
      </c>
      <c r="I17" s="16">
        <f>(I11-1)/(Weapons!E6*(1+$C$6))</f>
        <v/>
      </c>
      <c r="J17" s="16">
        <f>(J11-1)/(Weapons!E6*(1+$C$6))</f>
        <v/>
      </c>
    </row>
    <row r="18">
      <c r="A18" s="7" t="inlineStr">
        <is>
          <t>Pistol</t>
        </is>
      </c>
      <c r="B18" s="7">
        <f>B12</f>
        <v/>
      </c>
      <c r="C18" s="16">
        <f>(C12-1)/(Weapons!E7*(1+$C$6))</f>
        <v/>
      </c>
      <c r="D18" s="16">
        <f>(D12-1)/(Weapons!E7*(1+$C$6))</f>
        <v/>
      </c>
      <c r="E18" s="16">
        <f>(E12-1)/(Weapons!E7*(1+$C$6))</f>
        <v/>
      </c>
      <c r="F18" s="16">
        <f>(F12-1)/(Weapons!E7*(1+$C$6))</f>
        <v/>
      </c>
      <c r="G18" s="16">
        <f>(G12-1)/(Weapons!E7*(1+$C$6))</f>
        <v/>
      </c>
      <c r="H18" s="16">
        <f>(H12-1)/(Weapons!E7*(1+$C$6))</f>
        <v/>
      </c>
      <c r="I18" s="16">
        <f>(I12-1)/(Weapons!E7*(1+$C$6))</f>
        <v/>
      </c>
      <c r="J18" s="16">
        <f>(J12-1)/(Weapons!E7*(1+$C$6))</f>
        <v/>
      </c>
    </row>
    <row r="20">
      <c r="A20" s="12" t="inlineStr">
        <is>
          <t>Magazines needed to kill (ROUNDUP(shots / magazine))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</row>
    <row r="21">
      <c r="A21" s="6" t="inlineStr">
        <is>
          <t>Weapon</t>
        </is>
      </c>
      <c r="B21" s="6" t="inlineStr">
        <is>
          <t>Effective dmg / shot</t>
        </is>
      </c>
      <c r="C21" s="6" t="inlineStr">
        <is>
          <t>Enemy 1</t>
        </is>
      </c>
      <c r="D21" s="6" t="inlineStr">
        <is>
          <t>Enemy 2</t>
        </is>
      </c>
      <c r="E21" s="6" t="inlineStr">
        <is>
          <t>Enemy 3</t>
        </is>
      </c>
      <c r="F21" s="6" t="inlineStr">
        <is>
          <t>Ranged</t>
        </is>
      </c>
      <c r="G21" s="6" t="inlineStr">
        <is>
          <t>Cthulhu Eye</t>
        </is>
      </c>
      <c r="H21" s="6" t="inlineStr">
        <is>
          <t>Boss shield</t>
        </is>
      </c>
      <c r="I21" s="6" t="inlineStr">
        <is>
          <t>Boss HP</t>
        </is>
      </c>
      <c r="J21" s="6" t="inlineStr">
        <is>
          <t>Spawner (300 HP)</t>
        </is>
      </c>
    </row>
    <row r="22">
      <c r="A22" s="7" t="inlineStr">
        <is>
          <t>AK47</t>
        </is>
      </c>
      <c r="B22" s="7">
        <f>Weapons!H5</f>
        <v/>
      </c>
      <c r="C22" s="7">
        <f>ROUNDUP(C10/Weapons!$H5,0)</f>
        <v/>
      </c>
      <c r="D22" s="7">
        <f>ROUNDUP(D10/Weapons!$H5,0)</f>
        <v/>
      </c>
      <c r="E22" s="7">
        <f>ROUNDUP(E10/Weapons!$H5,0)</f>
        <v/>
      </c>
      <c r="F22" s="7">
        <f>ROUNDUP(F10/Weapons!$H5,0)</f>
        <v/>
      </c>
      <c r="G22" s="7">
        <f>ROUNDUP(G10/Weapons!$H5,0)</f>
        <v/>
      </c>
      <c r="H22" s="7">
        <f>ROUNDUP(H10/Weapons!$H5,0)</f>
        <v/>
      </c>
      <c r="I22" s="7">
        <f>ROUNDUP(I10/Weapons!$H5,0)</f>
        <v/>
      </c>
      <c r="J22" s="7">
        <f>ROUNDUP(J10/Weapons!$H5,0)</f>
        <v/>
      </c>
    </row>
    <row r="23">
      <c r="A23" s="7" t="inlineStr">
        <is>
          <t>Shotgun</t>
        </is>
      </c>
      <c r="B23" s="7">
        <f>Weapons!H6</f>
        <v/>
      </c>
      <c r="C23" s="7">
        <f>ROUNDUP(C11/Weapons!$H6,0)</f>
        <v/>
      </c>
      <c r="D23" s="7">
        <f>ROUNDUP(D11/Weapons!$H6,0)</f>
        <v/>
      </c>
      <c r="E23" s="7">
        <f>ROUNDUP(E11/Weapons!$H6,0)</f>
        <v/>
      </c>
      <c r="F23" s="7">
        <f>ROUNDUP(F11/Weapons!$H6,0)</f>
        <v/>
      </c>
      <c r="G23" s="7">
        <f>ROUNDUP(G11/Weapons!$H6,0)</f>
        <v/>
      </c>
      <c r="H23" s="7">
        <f>ROUNDUP(H11/Weapons!$H6,0)</f>
        <v/>
      </c>
      <c r="I23" s="7">
        <f>ROUNDUP(I11/Weapons!$H6,0)</f>
        <v/>
      </c>
      <c r="J23" s="7">
        <f>ROUNDUP(J11/Weapons!$H6,0)</f>
        <v/>
      </c>
    </row>
    <row r="24">
      <c r="A24" s="7" t="inlineStr">
        <is>
          <t>Pistol</t>
        </is>
      </c>
      <c r="B24" s="7">
        <f>Weapons!H7</f>
        <v/>
      </c>
      <c r="C24" s="7">
        <f>ROUNDUP(C12/Weapons!$H7,0)</f>
        <v/>
      </c>
      <c r="D24" s="7">
        <f>ROUNDUP(D12/Weapons!$H7,0)</f>
        <v/>
      </c>
      <c r="E24" s="7">
        <f>ROUNDUP(E12/Weapons!$H7,0)</f>
        <v/>
      </c>
      <c r="F24" s="7">
        <f>ROUNDUP(F12/Weapons!$H7,0)</f>
        <v/>
      </c>
      <c r="G24" s="7">
        <f>ROUNDUP(G12/Weapons!$H7,0)</f>
        <v/>
      </c>
      <c r="H24" s="7">
        <f>ROUNDUP(H12/Weapons!$H7,0)</f>
        <v/>
      </c>
      <c r="I24" s="7">
        <f>ROUNDUP(I12/Weapons!$H7,0)</f>
        <v/>
      </c>
      <c r="J24" s="7">
        <f>ROUNDUP(J12/Weapons!$H7,0)</f>
        <v/>
      </c>
    </row>
    <row r="26">
      <c r="A26" t="inlineStr">
        <is>
          <t>Note: Boss HP is only damageable while its shield is down; the shield (1000) regenerates to full every time the boss leaves a wall. See Boss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26" customWidth="1" min="4" max="4"/>
    <col width="10" customWidth="1" min="5" max="5"/>
    <col width="16" customWidth="1" min="6" max="6"/>
    <col width="11" customWidth="1" min="7" max="7"/>
    <col width="11" customWidth="1" min="8" max="8"/>
    <col width="34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40" customWidth="1" min="15" max="15"/>
    <col width="42" customWidth="1" min="16" max="16"/>
    <col width="48" customWidth="1" min="17" max="17"/>
  </cols>
  <sheetData>
    <row r="1">
      <c r="A1" s="1" t="inlineStr">
        <is>
          <t>Upgrades ("cigs") - one row per effect field</t>
        </is>
      </c>
    </row>
    <row r="2">
      <c r="A2" s="2" t="inlineStr">
        <is>
          <t>Source: Assets/Prefabs/Upgrades/**/*.asset (12 assets, all listed in __Pack Manager__ &gt; CigPool). UpgradeCatalogSnapshot.md is out of date (13 old assets).</t>
        </is>
      </c>
    </row>
    <row r="4">
      <c r="A4" s="6" t="inlineStr">
        <is>
          <t>Asset file</t>
        </is>
      </c>
      <c r="B4" s="6" t="inlineStr">
        <is>
          <t>Class</t>
        </is>
      </c>
      <c r="C4" s="6" t="inlineStr">
        <is>
          <t>ID</t>
        </is>
      </c>
      <c r="D4" s="6" t="inlineStr">
        <is>
          <t>Display name</t>
        </is>
      </c>
      <c r="E4" s="6" t="inlineStr">
        <is>
          <t>Brand</t>
        </is>
      </c>
      <c r="F4" s="6" t="inlineStr">
        <is>
          <t>Slot</t>
        </is>
      </c>
      <c r="G4" s="6" t="inlineStr">
        <is>
          <t>Has rarity roll?</t>
        </is>
      </c>
      <c r="H4" s="6" t="inlineStr">
        <is>
          <t>Shop cost (coins)</t>
        </is>
      </c>
      <c r="I4" s="6" t="inlineStr">
        <is>
          <t>Effect</t>
        </is>
      </c>
      <c r="J4" s="6" t="inlineStr">
        <is>
          <t>Tier 1</t>
        </is>
      </c>
      <c r="K4" s="6" t="inlineStr">
        <is>
          <t>Tier 2</t>
        </is>
      </c>
      <c r="L4" s="6" t="inlineStr">
        <is>
          <t>Tier 3</t>
        </is>
      </c>
      <c r="M4" s="6" t="inlineStr">
        <is>
          <t>Tier 4</t>
        </is>
      </c>
      <c r="N4" s="6" t="inlineStr">
        <is>
          <t>Scalar / flag</t>
        </is>
      </c>
      <c r="O4" s="6" t="inlineStr">
        <is>
          <t>Rarity scaling</t>
        </is>
      </c>
      <c r="P4" s="6" t="inlineStr">
        <is>
          <t>Feeds PackStats field</t>
        </is>
      </c>
      <c r="Q4" s="6" t="inlineStr">
        <is>
          <t>Notes</t>
        </is>
      </c>
    </row>
    <row r="5">
      <c r="A5" s="7" t="inlineStr">
        <is>
          <t>Chain Dash.asset</t>
        </is>
      </c>
      <c r="B5" s="7" t="inlineStr">
        <is>
          <t>ChainDashCigData</t>
        </is>
      </c>
      <c r="C5" s="7" t="inlineStr">
        <is>
          <t>Electric-4</t>
        </is>
      </c>
      <c r="D5" s="7" t="inlineStr">
        <is>
          <t>Chain Dash</t>
        </is>
      </c>
      <c r="E5" s="7" t="inlineStr">
        <is>
          <t>Electric</t>
        </is>
      </c>
      <c r="F5" s="7" t="inlineStr">
        <is>
          <t>Dash</t>
        </is>
      </c>
      <c r="G5" s="7" t="inlineStr">
        <is>
          <t>no</t>
        </is>
      </c>
      <c r="H5" s="7" t="n">
        <v>10</v>
      </c>
      <c r="I5" s="7" t="inlineStr">
        <is>
          <t>Extra dash charges</t>
        </is>
      </c>
      <c r="J5" s="7" t="n">
        <v>1</v>
      </c>
      <c r="K5" s="7" t="n">
        <v>2</v>
      </c>
      <c r="L5" s="7" t="n">
        <v>3</v>
      </c>
      <c r="M5" s="7" t="n">
        <v>4</v>
      </c>
      <c r="N5" s="7" t="n"/>
      <c r="O5" s="8" t="inlineStr">
        <is>
          <t>no</t>
        </is>
      </c>
      <c r="P5" s="7" t="inlineStr">
        <is>
          <t>DashExtraCharges</t>
        </is>
      </c>
      <c r="Q5" s="8" t="inlineStr"/>
    </row>
    <row r="6">
      <c r="A6" s="7" t="inlineStr">
        <is>
          <t>Chain Dash.asset</t>
        </is>
      </c>
      <c r="B6" s="7" t="inlineStr">
        <is>
          <t>ChainDashCigData</t>
        </is>
      </c>
      <c r="C6" s="7" t="inlineStr">
        <is>
          <t>Electric-4</t>
        </is>
      </c>
      <c r="D6" s="7" t="inlineStr">
        <is>
          <t>Chain Dash</t>
        </is>
      </c>
      <c r="E6" s="7" t="inlineStr">
        <is>
          <t>Electric</t>
        </is>
      </c>
      <c r="F6" s="7" t="inlineStr">
        <is>
          <t>Dash</t>
        </is>
      </c>
      <c r="G6" s="7" t="inlineStr">
        <is>
          <t>no</t>
        </is>
      </c>
      <c r="H6" s="7" t="n">
        <v>10</v>
      </c>
      <c r="I6" s="7" t="inlineStr">
        <is>
          <t>Dash cooldown added (s)</t>
        </is>
      </c>
      <c r="J6" s="7" t="n">
        <v>0.25</v>
      </c>
      <c r="K6" s="7" t="n">
        <v>0.5</v>
      </c>
      <c r="L6" s="7" t="n">
        <v>0.75</v>
      </c>
      <c r="M6" s="7" t="n">
        <v>1</v>
      </c>
      <c r="N6" s="7" t="n"/>
      <c r="O6" s="8" t="inlineStr">
        <is>
          <t>no</t>
        </is>
      </c>
      <c r="P6" s="7" t="inlineStr">
        <is>
          <t>DashCooldownPenalty</t>
        </is>
      </c>
      <c r="Q6" s="8" t="inlineStr"/>
    </row>
    <row r="7">
      <c r="A7" s="7" t="inlineStr">
        <is>
          <t>Chain Stomp.asset</t>
        </is>
      </c>
      <c r="B7" s="7" t="inlineStr">
        <is>
          <t>ChainStompCigData</t>
        </is>
      </c>
      <c r="C7" s="7" t="inlineStr">
        <is>
          <t>Electric-3</t>
        </is>
      </c>
      <c r="D7" s="7" t="inlineStr">
        <is>
          <t>Chain Stomp</t>
        </is>
      </c>
      <c r="E7" s="7" t="inlineStr">
        <is>
          <t>Electric</t>
        </is>
      </c>
      <c r="F7" s="7" t="inlineStr">
        <is>
          <t>Stomp</t>
        </is>
      </c>
      <c r="G7" s="7" t="inlineStr">
        <is>
          <t>no</t>
        </is>
      </c>
      <c r="H7" s="7" t="n">
        <v>10</v>
      </c>
      <c r="I7" s="7" t="inlineStr">
        <is>
          <t>Extra stomp charges</t>
        </is>
      </c>
      <c r="J7" s="7" t="n">
        <v>1</v>
      </c>
      <c r="K7" s="7" t="n">
        <v>2</v>
      </c>
      <c r="L7" s="7" t="n">
        <v>3</v>
      </c>
      <c r="M7" s="7" t="n">
        <v>4</v>
      </c>
      <c r="N7" s="7" t="n"/>
      <c r="O7" s="8" t="inlineStr">
        <is>
          <t>no</t>
        </is>
      </c>
      <c r="P7" s="7" t="inlineStr">
        <is>
          <t>StompExtraCharges</t>
        </is>
      </c>
      <c r="Q7" s="8" t="inlineStr"/>
    </row>
    <row r="8">
      <c r="A8" s="7" t="inlineStr">
        <is>
          <t>Chain Stomp.asset</t>
        </is>
      </c>
      <c r="B8" s="7" t="inlineStr">
        <is>
          <t>ChainStompCigData</t>
        </is>
      </c>
      <c r="C8" s="7" t="inlineStr">
        <is>
          <t>Electric-3</t>
        </is>
      </c>
      <c r="D8" s="7" t="inlineStr">
        <is>
          <t>Chain Stomp</t>
        </is>
      </c>
      <c r="E8" s="7" t="inlineStr">
        <is>
          <t>Electric</t>
        </is>
      </c>
      <c r="F8" s="7" t="inlineStr">
        <is>
          <t>Stomp</t>
        </is>
      </c>
      <c r="G8" s="7" t="inlineStr">
        <is>
          <t>no</t>
        </is>
      </c>
      <c r="H8" s="7" t="n">
        <v>10</v>
      </c>
      <c r="I8" s="7" t="inlineStr">
        <is>
          <t>Stomp cooldown added (s)</t>
        </is>
      </c>
      <c r="J8" s="7" t="n">
        <v>0.5</v>
      </c>
      <c r="K8" s="7" t="n">
        <v>1</v>
      </c>
      <c r="L8" s="7" t="n">
        <v>1.5</v>
      </c>
      <c r="M8" s="7" t="n">
        <v>2</v>
      </c>
      <c r="N8" s="7" t="n"/>
      <c r="O8" s="8" t="inlineStr">
        <is>
          <t>no</t>
        </is>
      </c>
      <c r="P8" s="7" t="inlineStr">
        <is>
          <t>StompCooldownPenalty</t>
        </is>
      </c>
      <c r="Q8" s="8" t="inlineStr"/>
    </row>
    <row r="9">
      <c r="A9" s="7" t="inlineStr">
        <is>
          <t>Primary FireRate.asset</t>
        </is>
      </c>
      <c r="B9" s="7" t="inlineStr">
        <is>
          <t>FireRateCigData</t>
        </is>
      </c>
      <c r="C9" s="7" t="inlineStr">
        <is>
          <t>Electric-1</t>
        </is>
      </c>
      <c r="D9" s="7" t="inlineStr">
        <is>
          <t>Primary Firerate</t>
        </is>
      </c>
      <c r="E9" s="7" t="inlineStr">
        <is>
          <t>Electric</t>
        </is>
      </c>
      <c r="F9" s="7" t="inlineStr">
        <is>
          <t>PrimaryWeapon</t>
        </is>
      </c>
      <c r="G9" s="7" t="inlineStr">
        <is>
          <t>no</t>
        </is>
      </c>
      <c r="H9" s="7" t="n">
        <v>10</v>
      </c>
      <c r="I9" s="7" t="inlineStr">
        <is>
          <t>Fire rate bonus (+%)</t>
        </is>
      </c>
      <c r="J9" s="7" t="n">
        <v>0.1</v>
      </c>
      <c r="K9" s="7" t="n">
        <v>0.2</v>
      </c>
      <c r="L9" s="7" t="n">
        <v>0.3</v>
      </c>
      <c r="M9" s="7" t="n">
        <v>0.45</v>
      </c>
      <c r="N9" s="7" t="n"/>
      <c r="O9" s="8" t="inlineStr">
        <is>
          <t>no</t>
        </is>
      </c>
      <c r="P9" s="7" t="inlineStr">
        <is>
          <t>Primary/SecondaryFireRateBonus</t>
        </is>
      </c>
      <c r="Q9" s="8" t="inlineStr"/>
    </row>
    <row r="10">
      <c r="A10" s="9" t="inlineStr">
        <is>
          <t>Secondary Pellet inc.asset</t>
        </is>
      </c>
      <c r="B10" s="9" t="inlineStr">
        <is>
          <t>ShotgunPelletCountCigData</t>
        </is>
      </c>
      <c r="C10" s="9" t="inlineStr">
        <is>
          <t>Electric-2</t>
        </is>
      </c>
      <c r="D10" s="9" t="inlineStr">
        <is>
          <t>Inc Secondary Pellets</t>
        </is>
      </c>
      <c r="E10" s="9" t="inlineStr">
        <is>
          <t>Electric</t>
        </is>
      </c>
      <c r="F10" s="9" t="inlineStr">
        <is>
          <t>SecondaryWeapon</t>
        </is>
      </c>
      <c r="G10" s="9" t="inlineStr">
        <is>
          <t>no</t>
        </is>
      </c>
      <c r="H10" s="9" t="n">
        <v>0</v>
      </c>
      <c r="I10" s="9" t="inlineStr">
        <is>
          <t>Extra shotgun pellets</t>
        </is>
      </c>
      <c r="J10" s="9" t="n">
        <v>1</v>
      </c>
      <c r="K10" s="9" t="n">
        <v>2</v>
      </c>
      <c r="L10" s="9" t="n">
        <v>3</v>
      </c>
      <c r="M10" s="9" t="n">
        <v>4</v>
      </c>
      <c r="N10" s="9" t="n"/>
      <c r="O10" s="10" t="inlineStr">
        <is>
          <t>no</t>
        </is>
      </c>
      <c r="P10" s="9" t="inlineStr">
        <is>
          <t>ShotgunBonusPellets</t>
        </is>
      </c>
      <c r="Q10" s="10" t="inlineStr">
        <is>
          <t>Buy cost is 0 (all others 10) - check if intentional.</t>
        </is>
      </c>
    </row>
    <row r="11">
      <c r="A11" s="7" t="inlineStr">
        <is>
          <t>Dash Post Dmg.asset</t>
        </is>
      </c>
      <c r="B11" s="7" t="inlineStr">
        <is>
          <t>DashPostDamageCigData</t>
        </is>
      </c>
      <c r="C11" s="7" t="inlineStr">
        <is>
          <t>Mild-4</t>
        </is>
      </c>
      <c r="D11" s="7" t="inlineStr">
        <is>
          <t>Dash PostDmg</t>
        </is>
      </c>
      <c r="E11" s="7" t="inlineStr">
        <is>
          <t>Mild</t>
        </is>
      </c>
      <c r="F11" s="7" t="inlineStr">
        <is>
          <t>Dash</t>
        </is>
      </c>
      <c r="G11" s="7" t="inlineStr">
        <is>
          <t>no</t>
        </is>
      </c>
      <c r="H11" s="7" t="n">
        <v>10</v>
      </c>
      <c r="I11" s="7" t="inlineStr">
        <is>
          <t>Post-dash damage multiplier (add)</t>
        </is>
      </c>
      <c r="J11" s="7" t="n">
        <v>0.25</v>
      </c>
      <c r="K11" s="7" t="n">
        <v>0.5</v>
      </c>
      <c r="L11" s="7" t="n">
        <v>0.75</v>
      </c>
      <c r="M11" s="7" t="n">
        <v>1</v>
      </c>
      <c r="N11" s="7" t="n"/>
      <c r="O11" s="8" t="inlineStr">
        <is>
          <t>no</t>
        </is>
      </c>
      <c r="P11" s="7" t="inlineStr">
        <is>
          <t>DashDamageWindowMultiplier = 1 + bonus</t>
        </is>
      </c>
      <c r="Q11" s="8" t="inlineStr"/>
    </row>
    <row r="12">
      <c r="A12" s="7" t="inlineStr">
        <is>
          <t>Dash Post Dmg.asset</t>
        </is>
      </c>
      <c r="B12" s="7" t="inlineStr">
        <is>
          <t>DashPostDamageCigData</t>
        </is>
      </c>
      <c r="C12" s="7" t="inlineStr">
        <is>
          <t>Mild-4</t>
        </is>
      </c>
      <c r="D12" s="7" t="inlineStr">
        <is>
          <t>Dash PostDmg</t>
        </is>
      </c>
      <c r="E12" s="7" t="inlineStr">
        <is>
          <t>Mild</t>
        </is>
      </c>
      <c r="F12" s="7" t="inlineStr">
        <is>
          <t>Dash</t>
        </is>
      </c>
      <c r="G12" s="7" t="inlineStr">
        <is>
          <t>no</t>
        </is>
      </c>
      <c r="H12" s="7" t="n">
        <v>10</v>
      </c>
      <c r="I12" s="7" t="inlineStr">
        <is>
          <t>Post-dash window (s), not tiered</t>
        </is>
      </c>
      <c r="J12" s="7" t="n"/>
      <c r="K12" s="7" t="n"/>
      <c r="L12" s="7" t="n"/>
      <c r="M12" s="7" t="n"/>
      <c r="N12" s="7" t="n">
        <v>2</v>
      </c>
      <c r="O12" s="8" t="inlineStr">
        <is>
          <t>no</t>
        </is>
      </c>
      <c r="P12" s="7" t="inlineStr">
        <is>
          <t>DashDamageWindowDuration</t>
        </is>
      </c>
      <c r="Q12" s="8" t="inlineStr"/>
    </row>
    <row r="13">
      <c r="A13" s="7" t="inlineStr">
        <is>
          <t>Primary Dmg &amp; Crit.asset</t>
        </is>
      </c>
      <c r="B13" s="7" t="inlineStr">
        <is>
          <t>CritChanceCigData</t>
        </is>
      </c>
      <c r="C13" s="7" t="inlineStr">
        <is>
          <t>Mild-1</t>
        </is>
      </c>
      <c r="D13" s="7" t="inlineStr">
        <is>
          <t>Primary Up</t>
        </is>
      </c>
      <c r="E13" s="7" t="inlineStr">
        <is>
          <t>Mild</t>
        </is>
      </c>
      <c r="F13" s="7" t="inlineStr">
        <is>
          <t>PrimaryWeapon</t>
        </is>
      </c>
      <c r="G13" s="7" t="inlineStr">
        <is>
          <t>YES</t>
        </is>
      </c>
      <c r="H13" s="7" t="n">
        <v>10</v>
      </c>
      <c r="I13" s="7" t="inlineStr">
        <is>
          <t>Crit chance (add, %)</t>
        </is>
      </c>
      <c r="J13" s="7" t="n">
        <v>0.1</v>
      </c>
      <c r="K13" s="7" t="n">
        <v>0.2</v>
      </c>
      <c r="L13" s="7" t="n">
        <v>0.3</v>
      </c>
      <c r="M13" s="7" t="n">
        <v>0.45</v>
      </c>
      <c r="N13" s="7" t="n"/>
      <c r="O13" s="8" t="inlineStr">
        <is>
          <t>no</t>
        </is>
      </c>
      <c r="P13" s="7" t="inlineStr">
        <is>
          <t>Primary/SecondaryCritChance</t>
        </is>
      </c>
      <c r="Q13" s="8" t="inlineStr"/>
    </row>
    <row r="14">
      <c r="A14" s="7" t="inlineStr">
        <is>
          <t>Primary Dmg &amp; Crit.asset</t>
        </is>
      </c>
      <c r="B14" s="7" t="inlineStr">
        <is>
          <t>CritChanceCigData</t>
        </is>
      </c>
      <c r="C14" s="7" t="inlineStr">
        <is>
          <t>Mild-1</t>
        </is>
      </c>
      <c r="D14" s="7" t="inlineStr">
        <is>
          <t>Primary Up</t>
        </is>
      </c>
      <c r="E14" s="7" t="inlineStr">
        <is>
          <t>Mild</t>
        </is>
      </c>
      <c r="F14" s="7" t="inlineStr">
        <is>
          <t>PrimaryWeapon</t>
        </is>
      </c>
      <c r="G14" s="7" t="inlineStr">
        <is>
          <t>YES</t>
        </is>
      </c>
      <c r="H14" s="7" t="n">
        <v>10</v>
      </c>
      <c r="I14" s="7" t="inlineStr">
        <is>
          <t>Crit damage multiplier (base)</t>
        </is>
      </c>
      <c r="J14" s="7" t="n"/>
      <c r="K14" s="7" t="n"/>
      <c r="L14" s="7" t="n"/>
      <c r="M14" s="7" t="n"/>
      <c r="N14" s="7" t="n">
        <v>1.5</v>
      </c>
      <c r="O14" s="8" t="inlineStr">
        <is>
          <t>YES: extra multiplier (x-1) is scaled by (1+rarity). Chance is NOT scaled.</t>
        </is>
      </c>
      <c r="P14" s="7" t="inlineStr">
        <is>
          <t>Primary/SecondaryCritMultiplier += (x-1)*(1+rarity)</t>
        </is>
      </c>
      <c r="Q14" s="8" t="inlineStr"/>
    </row>
    <row r="15">
      <c r="A15" s="7" t="inlineStr">
        <is>
          <t>Secondary Dmg &amp; Crit.asset</t>
        </is>
      </c>
      <c r="B15" s="7" t="inlineStr">
        <is>
          <t>CritChanceCigData</t>
        </is>
      </c>
      <c r="C15" s="7" t="inlineStr">
        <is>
          <t>Mild-2</t>
        </is>
      </c>
      <c r="D15" s="7" t="inlineStr">
        <is>
          <t>Secondary Up</t>
        </is>
      </c>
      <c r="E15" s="7" t="inlineStr">
        <is>
          <t>Mild</t>
        </is>
      </c>
      <c r="F15" s="7" t="inlineStr">
        <is>
          <t>SecondaryWeapon</t>
        </is>
      </c>
      <c r="G15" s="7" t="inlineStr">
        <is>
          <t>YES</t>
        </is>
      </c>
      <c r="H15" s="7" t="n">
        <v>10</v>
      </c>
      <c r="I15" s="7" t="inlineStr">
        <is>
          <t>Crit chance (add, %)</t>
        </is>
      </c>
      <c r="J15" s="7" t="n">
        <v>0.1</v>
      </c>
      <c r="K15" s="7" t="n">
        <v>0.2</v>
      </c>
      <c r="L15" s="7" t="n">
        <v>0.3</v>
      </c>
      <c r="M15" s="7" t="n">
        <v>0.45</v>
      </c>
      <c r="N15" s="7" t="n"/>
      <c r="O15" s="8" t="inlineStr">
        <is>
          <t>no</t>
        </is>
      </c>
      <c r="P15" s="7" t="inlineStr">
        <is>
          <t>Primary/SecondaryCritChance</t>
        </is>
      </c>
      <c r="Q15" s="8" t="inlineStr"/>
    </row>
    <row r="16">
      <c r="A16" s="7" t="inlineStr">
        <is>
          <t>Secondary Dmg &amp; Crit.asset</t>
        </is>
      </c>
      <c r="B16" s="7" t="inlineStr">
        <is>
          <t>CritChanceCigData</t>
        </is>
      </c>
      <c r="C16" s="7" t="inlineStr">
        <is>
          <t>Mild-2</t>
        </is>
      </c>
      <c r="D16" s="7" t="inlineStr">
        <is>
          <t>Secondary Up</t>
        </is>
      </c>
      <c r="E16" s="7" t="inlineStr">
        <is>
          <t>Mild</t>
        </is>
      </c>
      <c r="F16" s="7" t="inlineStr">
        <is>
          <t>SecondaryWeapon</t>
        </is>
      </c>
      <c r="G16" s="7" t="inlineStr">
        <is>
          <t>YES</t>
        </is>
      </c>
      <c r="H16" s="7" t="n">
        <v>10</v>
      </c>
      <c r="I16" s="7" t="inlineStr">
        <is>
          <t>Crit damage multiplier (base)</t>
        </is>
      </c>
      <c r="J16" s="7" t="n"/>
      <c r="K16" s="7" t="n"/>
      <c r="L16" s="7" t="n"/>
      <c r="M16" s="7" t="n"/>
      <c r="N16" s="7" t="n">
        <v>1.5</v>
      </c>
      <c r="O16" s="8" t="inlineStr">
        <is>
          <t>YES: extra multiplier (x-1) is scaled by (1+rarity). Chance is NOT scaled.</t>
        </is>
      </c>
      <c r="P16" s="7" t="inlineStr">
        <is>
          <t>Primary/SecondaryCritMultiplier += (x-1)*(1+rarity)</t>
        </is>
      </c>
      <c r="Q16" s="8" t="inlineStr"/>
    </row>
    <row r="17">
      <c r="A17" s="7" t="inlineStr">
        <is>
          <t>Stomp Power.asset</t>
        </is>
      </c>
      <c r="B17" s="7" t="inlineStr">
        <is>
          <t>StompPowerCigData</t>
        </is>
      </c>
      <c r="C17" s="7" t="inlineStr">
        <is>
          <t>Mild-3</t>
        </is>
      </c>
      <c r="D17" s="7" t="inlineStr">
        <is>
          <t>Stomp Power</t>
        </is>
      </c>
      <c r="E17" s="7" t="inlineStr">
        <is>
          <t>Mild</t>
        </is>
      </c>
      <c r="F17" s="7" t="inlineStr">
        <is>
          <t>Stomp</t>
        </is>
      </c>
      <c r="G17" s="7" t="inlineStr">
        <is>
          <t>YES</t>
        </is>
      </c>
      <c r="H17" s="7" t="n">
        <v>10</v>
      </c>
      <c r="I17" s="7" t="inlineStr">
        <is>
          <t>Stomp flat damage bonus</t>
        </is>
      </c>
      <c r="J17" s="7" t="n">
        <v>2</v>
      </c>
      <c r="K17" s="7" t="n">
        <v>5</v>
      </c>
      <c r="L17" s="7" t="n">
        <v>9</v>
      </c>
      <c r="M17" s="7" t="n">
        <v>14</v>
      </c>
      <c r="N17" s="7" t="n"/>
      <c r="O17" s="8" t="inlineStr">
        <is>
          <t>YES: round(dmg*(1+rarity))</t>
        </is>
      </c>
      <c r="P17" s="7" t="inlineStr">
        <is>
          <t>StompBonusDamage</t>
        </is>
      </c>
      <c r="Q17" s="8" t="inlineStr"/>
    </row>
    <row r="18">
      <c r="A18" s="7" t="inlineStr">
        <is>
          <t>Stomp Power.asset</t>
        </is>
      </c>
      <c r="B18" s="7" t="inlineStr">
        <is>
          <t>StompPowerCigData</t>
        </is>
      </c>
      <c r="C18" s="7" t="inlineStr">
        <is>
          <t>Mild-3</t>
        </is>
      </c>
      <c r="D18" s="7" t="inlineStr">
        <is>
          <t>Stomp Power</t>
        </is>
      </c>
      <c r="E18" s="7" t="inlineStr">
        <is>
          <t>Mild</t>
        </is>
      </c>
      <c r="F18" s="7" t="inlineStr">
        <is>
          <t>Stomp</t>
        </is>
      </c>
      <c r="G18" s="7" t="inlineStr">
        <is>
          <t>YES</t>
        </is>
      </c>
      <c r="H18" s="7" t="n">
        <v>10</v>
      </c>
      <c r="I18" s="7" t="inlineStr">
        <is>
          <t>Stomp radius bonus (u)</t>
        </is>
      </c>
      <c r="J18" s="7" t="n">
        <v>1</v>
      </c>
      <c r="K18" s="7" t="n">
        <v>2</v>
      </c>
      <c r="L18" s="7" t="n">
        <v>3</v>
      </c>
      <c r="M18" s="7" t="n">
        <v>4</v>
      </c>
      <c r="N18" s="7" t="n"/>
      <c r="O18" s="8" t="inlineStr">
        <is>
          <t>no</t>
        </is>
      </c>
      <c r="P18" s="7" t="inlineStr">
        <is>
          <t>StompBonusRadius</t>
        </is>
      </c>
      <c r="Q18" s="8" t="inlineStr"/>
    </row>
    <row r="19">
      <c r="A19" s="7" t="inlineStr">
        <is>
          <t>Dash AOEDmg.asset</t>
        </is>
      </c>
      <c r="B19" s="7" t="inlineStr">
        <is>
          <t>DashAoECigData</t>
        </is>
      </c>
      <c r="C19" s="7" t="inlineStr">
        <is>
          <t>Regular-4</t>
        </is>
      </c>
      <c r="D19" s="7" t="inlineStr">
        <is>
          <t>Dash AOE Dmg</t>
        </is>
      </c>
      <c r="E19" s="7" t="inlineStr">
        <is>
          <t>Regular</t>
        </is>
      </c>
      <c r="F19" s="7" t="inlineStr">
        <is>
          <t>Dash</t>
        </is>
      </c>
      <c r="G19" s="7" t="inlineStr">
        <is>
          <t>YES</t>
        </is>
      </c>
      <c r="H19" s="7" t="n">
        <v>10</v>
      </c>
      <c r="I19" s="7" t="inlineStr">
        <is>
          <t>Dash AoE damage (once/enemy/dash)</t>
        </is>
      </c>
      <c r="J19" s="7" t="n">
        <v>8</v>
      </c>
      <c r="K19" s="7" t="n">
        <v>14</v>
      </c>
      <c r="L19" s="7" t="n">
        <v>20</v>
      </c>
      <c r="M19" s="7" t="n">
        <v>28</v>
      </c>
      <c r="N19" s="7" t="n"/>
      <c r="O19" s="8" t="inlineStr">
        <is>
          <t>YES: round(dmg*(1+rarity))</t>
        </is>
      </c>
      <c r="P19" s="7" t="inlineStr">
        <is>
          <t>DashAoeDamage</t>
        </is>
      </c>
      <c r="Q19" s="8" t="inlineStr"/>
    </row>
    <row r="20">
      <c r="A20" s="7" t="inlineStr">
        <is>
          <t>Dash AOEDmg.asset</t>
        </is>
      </c>
      <c r="B20" s="7" t="inlineStr">
        <is>
          <t>DashAoECigData</t>
        </is>
      </c>
      <c r="C20" s="7" t="inlineStr">
        <is>
          <t>Regular-4</t>
        </is>
      </c>
      <c r="D20" s="7" t="inlineStr">
        <is>
          <t>Dash AOE Dmg</t>
        </is>
      </c>
      <c r="E20" s="7" t="inlineStr">
        <is>
          <t>Regular</t>
        </is>
      </c>
      <c r="F20" s="7" t="inlineStr">
        <is>
          <t>Dash</t>
        </is>
      </c>
      <c r="G20" s="7" t="inlineStr">
        <is>
          <t>YES</t>
        </is>
      </c>
      <c r="H20" s="7" t="n">
        <v>10</v>
      </c>
      <c r="I20" s="7" t="inlineStr">
        <is>
          <t>Dash AoE knockback</t>
        </is>
      </c>
      <c r="J20" s="7" t="n">
        <v>12</v>
      </c>
      <c r="K20" s="7" t="n">
        <v>16</v>
      </c>
      <c r="L20" s="7" t="n">
        <v>20</v>
      </c>
      <c r="M20" s="7" t="n">
        <v>25</v>
      </c>
      <c r="N20" s="7" t="n"/>
      <c r="O20" s="8" t="inlineStr">
        <is>
          <t>YES: knockback*(1+rarity)</t>
        </is>
      </c>
      <c r="P20" s="7" t="inlineStr">
        <is>
          <t>DashAoeKnockback</t>
        </is>
      </c>
      <c r="Q20" s="8" t="inlineStr"/>
    </row>
    <row r="21">
      <c r="A21" s="7" t="inlineStr">
        <is>
          <t>Dash AOEDmg.asset</t>
        </is>
      </c>
      <c r="B21" s="7" t="inlineStr">
        <is>
          <t>DashAoECigData</t>
        </is>
      </c>
      <c r="C21" s="7" t="inlineStr">
        <is>
          <t>Regular-4</t>
        </is>
      </c>
      <c r="D21" s="7" t="inlineStr">
        <is>
          <t>Dash AOE Dmg</t>
        </is>
      </c>
      <c r="E21" s="7" t="inlineStr">
        <is>
          <t>Regular</t>
        </is>
      </c>
      <c r="F21" s="7" t="inlineStr">
        <is>
          <t>Dash</t>
        </is>
      </c>
      <c r="G21" s="7" t="inlineStr">
        <is>
          <t>YES</t>
        </is>
      </c>
      <c r="H21" s="7" t="n">
        <v>10</v>
      </c>
      <c r="I21" s="7" t="inlineStr">
        <is>
          <t>Dash AoE radius (u), not tiered</t>
        </is>
      </c>
      <c r="J21" s="7" t="n"/>
      <c r="K21" s="7" t="n"/>
      <c r="L21" s="7" t="n"/>
      <c r="M21" s="7" t="n"/>
      <c r="N21" s="7" t="n">
        <v>2</v>
      </c>
      <c r="O21" s="8" t="inlineStr">
        <is>
          <t>no</t>
        </is>
      </c>
      <c r="P21" s="7" t="inlineStr">
        <is>
          <t>DashAoeRadius</t>
        </is>
      </c>
      <c r="Q21" s="8" t="inlineStr"/>
    </row>
    <row r="22">
      <c r="A22" s="7" t="inlineStr">
        <is>
          <t>Primary DmgInc &amp; Bullet Bounce.asset</t>
        </is>
      </c>
      <c r="B22" s="7" t="inlineStr">
        <is>
          <t>BulletBounceCigData</t>
        </is>
      </c>
      <c r="C22" s="7" t="inlineStr">
        <is>
          <t>Regular-1</t>
        </is>
      </c>
      <c r="D22" s="7" t="inlineStr">
        <is>
          <t>Primary Bullet Bounce</t>
        </is>
      </c>
      <c r="E22" s="7" t="inlineStr">
        <is>
          <t>Regular</t>
        </is>
      </c>
      <c r="F22" s="7" t="inlineStr">
        <is>
          <t>PrimaryWeapon</t>
        </is>
      </c>
      <c r="G22" s="7" t="inlineStr">
        <is>
          <t>YES</t>
        </is>
      </c>
      <c r="H22" s="7" t="n">
        <v>10</v>
      </c>
      <c r="I22" s="7" t="inlineStr">
        <is>
          <t>Flat weapon damage bonus</t>
        </is>
      </c>
      <c r="J22" s="7" t="n">
        <v>5</v>
      </c>
      <c r="K22" s="7" t="n">
        <v>10</v>
      </c>
      <c r="L22" s="7" t="n">
        <v>15</v>
      </c>
      <c r="M22" s="7" t="n">
        <v>20</v>
      </c>
      <c r="N22" s="7" t="n"/>
      <c r="O22" s="8" t="inlineStr">
        <is>
          <t>YES: round(dmg*(1+rarity))</t>
        </is>
      </c>
      <c r="P22" s="7" t="inlineStr">
        <is>
          <t>Primary/SecondaryWeaponBonusDamage</t>
        </is>
      </c>
      <c r="Q22" s="8" t="inlineStr"/>
    </row>
    <row r="23">
      <c r="A23" s="7" t="inlineStr">
        <is>
          <t>Primary DmgInc &amp; Bullet Bounce.asset</t>
        </is>
      </c>
      <c r="B23" s="7" t="inlineStr">
        <is>
          <t>BulletBounceCigData</t>
        </is>
      </c>
      <c r="C23" s="7" t="inlineStr">
        <is>
          <t>Regular-1</t>
        </is>
      </c>
      <c r="D23" s="7" t="inlineStr">
        <is>
          <t>Primary Bullet Bounce</t>
        </is>
      </c>
      <c r="E23" s="7" t="inlineStr">
        <is>
          <t>Regular</t>
        </is>
      </c>
      <c r="F23" s="7" t="inlineStr">
        <is>
          <t>PrimaryWeapon</t>
        </is>
      </c>
      <c r="G23" s="7" t="inlineStr">
        <is>
          <t>YES</t>
        </is>
      </c>
      <c r="H23" s="7" t="n">
        <v>10</v>
      </c>
      <c r="I23" s="7" t="inlineStr">
        <is>
          <t>Bullet bounce count</t>
        </is>
      </c>
      <c r="J23" s="7" t="n">
        <v>1</v>
      </c>
      <c r="K23" s="7" t="n">
        <v>2</v>
      </c>
      <c r="L23" s="7" t="n">
        <v>3</v>
      </c>
      <c r="M23" s="7" t="n">
        <v>4</v>
      </c>
      <c r="N23" s="7" t="n"/>
      <c r="O23" s="8" t="inlineStr">
        <is>
          <t>no</t>
        </is>
      </c>
      <c r="P23" s="7" t="inlineStr">
        <is>
          <t>Primary/SecondaryBounceCount</t>
        </is>
      </c>
      <c r="Q23" s="8" t="inlineStr"/>
    </row>
    <row r="24">
      <c r="A24" s="7" t="inlineStr">
        <is>
          <t>Secondary DmgInc &amp; Bullet Bounce.asset</t>
        </is>
      </c>
      <c r="B24" s="7" t="inlineStr">
        <is>
          <t>BulletBounceCigData</t>
        </is>
      </c>
      <c r="C24" s="7" t="inlineStr">
        <is>
          <t>Regular-2</t>
        </is>
      </c>
      <c r="D24" s="7" t="inlineStr">
        <is>
          <t>Secondary Bullet Bounce</t>
        </is>
      </c>
      <c r="E24" s="7" t="inlineStr">
        <is>
          <t>Regular</t>
        </is>
      </c>
      <c r="F24" s="7" t="inlineStr">
        <is>
          <t>SecondaryWeapon</t>
        </is>
      </c>
      <c r="G24" s="7" t="inlineStr">
        <is>
          <t>YES</t>
        </is>
      </c>
      <c r="H24" s="7" t="n">
        <v>10</v>
      </c>
      <c r="I24" s="7" t="inlineStr">
        <is>
          <t>Flat weapon damage bonus</t>
        </is>
      </c>
      <c r="J24" s="7" t="n">
        <v>5</v>
      </c>
      <c r="K24" s="7" t="n">
        <v>10</v>
      </c>
      <c r="L24" s="7" t="n">
        <v>15</v>
      </c>
      <c r="M24" s="7" t="n">
        <v>20</v>
      </c>
      <c r="N24" s="7" t="n"/>
      <c r="O24" s="8" t="inlineStr">
        <is>
          <t>YES: round(dmg*(1+rarity))</t>
        </is>
      </c>
      <c r="P24" s="7" t="inlineStr">
        <is>
          <t>Primary/SecondaryWeaponBonusDamage</t>
        </is>
      </c>
      <c r="Q24" s="8" t="inlineStr"/>
    </row>
    <row r="25">
      <c r="A25" s="7" t="inlineStr">
        <is>
          <t>Secondary DmgInc &amp; Bullet Bounce.asset</t>
        </is>
      </c>
      <c r="B25" s="7" t="inlineStr">
        <is>
          <t>BulletBounceCigData</t>
        </is>
      </c>
      <c r="C25" s="7" t="inlineStr">
        <is>
          <t>Regular-2</t>
        </is>
      </c>
      <c r="D25" s="7" t="inlineStr">
        <is>
          <t>Secondary Bullet Bounce</t>
        </is>
      </c>
      <c r="E25" s="7" t="inlineStr">
        <is>
          <t>Regular</t>
        </is>
      </c>
      <c r="F25" s="7" t="inlineStr">
        <is>
          <t>SecondaryWeapon</t>
        </is>
      </c>
      <c r="G25" s="7" t="inlineStr">
        <is>
          <t>YES</t>
        </is>
      </c>
      <c r="H25" s="7" t="n">
        <v>10</v>
      </c>
      <c r="I25" s="7" t="inlineStr">
        <is>
          <t>Bullet bounce count</t>
        </is>
      </c>
      <c r="J25" s="7" t="n">
        <v>1</v>
      </c>
      <c r="K25" s="7" t="n">
        <v>2</v>
      </c>
      <c r="L25" s="7" t="n">
        <v>3</v>
      </c>
      <c r="M25" s="7" t="n">
        <v>4</v>
      </c>
      <c r="N25" s="7" t="n"/>
      <c r="O25" s="8" t="inlineStr">
        <is>
          <t>no</t>
        </is>
      </c>
      <c r="P25" s="7" t="inlineStr">
        <is>
          <t>Primary/SecondaryBounceCount</t>
        </is>
      </c>
      <c r="Q25" s="8" t="inlineStr"/>
    </row>
    <row r="26">
      <c r="A26" s="7" t="inlineStr">
        <is>
          <t>Stomp Circle.asset</t>
        </is>
      </c>
      <c r="B26" s="7" t="inlineStr">
        <is>
          <t>StompCircleCigData</t>
        </is>
      </c>
      <c r="C26" s="7" t="inlineStr">
        <is>
          <t>Regular-3</t>
        </is>
      </c>
      <c r="D26" s="7" t="inlineStr">
        <is>
          <t>Stomp Circle</t>
        </is>
      </c>
      <c r="E26" s="7" t="inlineStr">
        <is>
          <t>Regular</t>
        </is>
      </c>
      <c r="F26" s="7" t="inlineStr">
        <is>
          <t>Stomp</t>
        </is>
      </c>
      <c r="G26" s="7" t="inlineStr">
        <is>
          <t>YES</t>
        </is>
      </c>
      <c r="H26" s="7" t="n">
        <v>10</v>
      </c>
      <c r="I26" s="7" t="inlineStr">
        <is>
          <t>Stomp flat damage bonus</t>
        </is>
      </c>
      <c r="J26" s="7" t="n">
        <v>2</v>
      </c>
      <c r="K26" s="7" t="n">
        <v>5</v>
      </c>
      <c r="L26" s="7" t="n">
        <v>9</v>
      </c>
      <c r="M26" s="7" t="n">
        <v>14</v>
      </c>
      <c r="N26" s="7" t="n"/>
      <c r="O26" s="8" t="inlineStr">
        <is>
          <t>YES: round(dmg*(1+rarity))</t>
        </is>
      </c>
      <c r="P26" s="7" t="inlineStr">
        <is>
          <t>StompBonusDamage</t>
        </is>
      </c>
      <c r="Q26" s="8" t="inlineStr"/>
    </row>
    <row r="27">
      <c r="A27" s="7" t="inlineStr">
        <is>
          <t>Stomp Circle.asset</t>
        </is>
      </c>
      <c r="B27" s="7" t="inlineStr">
        <is>
          <t>StompCircleCigData</t>
        </is>
      </c>
      <c r="C27" s="7" t="inlineStr">
        <is>
          <t>Regular-3</t>
        </is>
      </c>
      <c r="D27" s="7" t="inlineStr">
        <is>
          <t>Stomp Circle</t>
        </is>
      </c>
      <c r="E27" s="7" t="inlineStr">
        <is>
          <t>Regular</t>
        </is>
      </c>
      <c r="F27" s="7" t="inlineStr">
        <is>
          <t>Stomp</t>
        </is>
      </c>
      <c r="G27" s="7" t="inlineStr">
        <is>
          <t>YES</t>
        </is>
      </c>
      <c r="H27" s="7" t="n">
        <v>10</v>
      </c>
      <c r="I27" s="7" t="inlineStr">
        <is>
          <t>Stomp ring bullet count</t>
        </is>
      </c>
      <c r="J27" s="7" t="n">
        <v>4</v>
      </c>
      <c r="K27" s="7" t="n">
        <v>6</v>
      </c>
      <c r="L27" s="7" t="n">
        <v>8</v>
      </c>
      <c r="M27" s="7" t="n">
        <v>10</v>
      </c>
      <c r="N27" s="7" t="n"/>
      <c r="O27" s="8" t="inlineStr">
        <is>
          <t>no</t>
        </is>
      </c>
      <c r="P27" s="7" t="inlineStr">
        <is>
          <t>StompBulletCount (each bullet = full stomp damage)</t>
        </is>
      </c>
      <c r="Q27" s="8" t="inlineStr"/>
    </row>
    <row r="29">
      <c r="A29" s="12" t="inlineStr">
        <is>
          <t>Shop &amp; pack rules (code)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</row>
    <row r="30">
      <c r="A30" s="7" t="inlineStr">
        <is>
          <t>Pack capacity</t>
        </is>
      </c>
      <c r="B30" s="8" t="inlineStr">
        <is>
          <t>5 cigs (Pack.MaxSlots). Buying a lineage you already hold replaces it in place.</t>
        </is>
      </c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8" t="n"/>
    </row>
    <row r="31">
      <c r="A31" s="7" t="inlineStr">
        <is>
          <t>Offers</t>
        </is>
      </c>
      <c r="B31" s="8" t="inlineStr">
        <is>
          <t>ShopUIController.offerCount = 3 cards shown; CigPool.RollOffers() rolls every not-yet-bought lineage fresh, shuffled.</t>
        </is>
      </c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8" t="n"/>
    </row>
    <row r="32">
      <c r="A32" s="7" t="inlineStr">
        <is>
          <t>Tier roll</t>
        </is>
      </c>
      <c r="B32" s="8" t="inlineStr">
        <is>
          <t>Uniform 1-4 (25% each) per offer, rerolled on every offer generation.</t>
        </is>
      </c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8" t="n"/>
    </row>
    <row r="33">
      <c r="A33" s="7" t="inlineStr">
        <is>
          <t>Rarity roll</t>
        </is>
      </c>
      <c r="B33" s="8" t="inlineStr">
        <is>
          <t>Uniform over Common/Uncommon/Rare/Epic (25% each) but only if hasRarity; else Common.</t>
        </is>
      </c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8" t="n"/>
    </row>
    <row r="34">
      <c r="A34" s="7" t="inlineStr">
        <is>
          <t>Rarity bonus</t>
        </is>
      </c>
      <c r="B34" s="8" t="inlineStr">
        <is>
          <t>Rarity Config: Common 0, Uncommon 0.10, Rare 0.25, Epic 0.50 (Assets/Prefabs/Upgrades/Rarity Config.asset).</t>
        </is>
      </c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8" t="n"/>
    </row>
    <row r="35">
      <c r="A35" s="7" t="inlineStr">
        <is>
          <t>Bought lineage</t>
        </is>
      </c>
      <c r="B35" s="8" t="inlineStr">
        <is>
          <t>Removed from the pool permanently for the run (never re-offered, even after burning).</t>
        </is>
      </c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8" t="n"/>
    </row>
    <row r="36">
      <c r="A36" s="7" t="inlineStr">
        <is>
          <t>Brand exclusivity</t>
        </is>
      </c>
      <c r="B36" s="8" t="inlineStr">
        <is>
          <t>Mild and Regular cigs targeting the SAME slot are mutually exclusive (buying one prompts replacing the other). Electric is unrestricted.</t>
        </is>
      </c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8" t="n"/>
    </row>
    <row r="37">
      <c r="A37" s="7" t="inlineStr">
        <is>
          <t>Burning</t>
        </is>
      </c>
      <c r="B37" s="8" t="inlineStr">
        <is>
          <t>A held cig can be burned: acts as Tier 4 (rarity unchanged) for the NEXT level only, then is removed at the level boundary.</t>
        </is>
      </c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8" t="n"/>
    </row>
    <row r="38">
      <c r="A38" s="7" t="inlineStr">
        <is>
          <t>Reshuffle cost</t>
        </is>
      </c>
      <c r="B38" s="8" t="inlineStr">
        <is>
          <t>reshuffleBaseCost=5, +50% compounding per reshuffle this visit (cost = round(5 * 1.5^n)); resets every shop visit.</t>
        </is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8" t="n"/>
    </row>
    <row r="39">
      <c r="A39" s="7" t="inlineStr">
        <is>
          <t>Shop opens</t>
        </is>
      </c>
      <c r="B39" s="8" t="inlineStr">
        <is>
          <t>After each cleared dungeon except the last (before the boss). See Run &amp; Dungeon.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8" t="n"/>
    </row>
    <row r="40">
      <c r="A40" s="9" t="inlineStr">
        <is>
          <t>Debug grant in scene</t>
        </is>
      </c>
      <c r="B40" s="10" t="inlineStr">
        <is>
          <t>RoguelikeMode's __Pack Manager__ instance carries DebugUpgradeInjector entries: Chain Dash, Primary Dmg &amp; Crit, Stomp Circle (Tier 1, Common) granted at Start, bypassing the shop. Verify before balancing runs.</t>
        </is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8" t="n"/>
    </row>
    <row r="42">
      <c r="A42" s="6" t="inlineStr">
        <is>
          <t>Reshuffle #</t>
        </is>
      </c>
      <c r="B42" s="6" t="inlineStr">
        <is>
          <t>Cost (coins)</t>
        </is>
      </c>
    </row>
    <row r="43">
      <c r="A43" s="7" t="n">
        <v>0</v>
      </c>
      <c r="B43" s="7">
        <f>ROUND(5*1.5^A43,0)</f>
        <v/>
      </c>
    </row>
    <row r="44">
      <c r="A44" s="7" t="n">
        <v>1</v>
      </c>
      <c r="B44" s="7">
        <f>ROUND(5*1.5^A44,0)</f>
        <v/>
      </c>
    </row>
    <row r="45">
      <c r="A45" s="7" t="n">
        <v>2</v>
      </c>
      <c r="B45" s="7">
        <f>ROUND(5*1.5^A45,0)</f>
        <v/>
      </c>
    </row>
    <row r="46">
      <c r="A46" s="7" t="n">
        <v>3</v>
      </c>
      <c r="B46" s="7">
        <f>ROUND(5*1.5^A46,0)</f>
        <v/>
      </c>
    </row>
    <row r="47">
      <c r="A47" s="7" t="n">
        <v>4</v>
      </c>
      <c r="B47" s="7">
        <f>ROUND(5*1.5^A47,0)</f>
        <v/>
      </c>
    </row>
    <row r="48">
      <c r="A48" s="7" t="n">
        <v>5</v>
      </c>
      <c r="B48" s="7">
        <f>ROUND(5*1.5^A48,0)</f>
        <v/>
      </c>
    </row>
    <row r="49">
      <c r="A49" s="7" t="n">
        <v>6</v>
      </c>
      <c r="B49" s="7">
        <f>ROUND(5*1.5^A49,0)</f>
        <v/>
      </c>
    </row>
  </sheetData>
  <mergeCells count="11">
    <mergeCell ref="B35:L35"/>
    <mergeCell ref="B30:L30"/>
    <mergeCell ref="B38:L38"/>
    <mergeCell ref="B33:L33"/>
    <mergeCell ref="B39:L39"/>
    <mergeCell ref="B34:L34"/>
    <mergeCell ref="B37:L37"/>
    <mergeCell ref="B36:L36"/>
    <mergeCell ref="B32:L32"/>
    <mergeCell ref="B31:L31"/>
    <mergeCell ref="B40:L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Effective upgrade values by tier x rarity (formulas)</t>
        </is>
      </c>
    </row>
    <row r="2">
      <c r="A2" s="2" t="inlineStr">
        <is>
          <t>Rarity bonuses are editable inputs (green); everything below recalculates. Values feed from the Upgrades sheet.</t>
        </is>
      </c>
    </row>
    <row r="4">
      <c r="A4" s="6" t="inlineStr">
        <is>
          <t>Rarity</t>
        </is>
      </c>
      <c r="B4" s="6" t="inlineStr">
        <is>
          <t>Bonus</t>
        </is>
      </c>
    </row>
    <row r="5">
      <c r="A5" s="7" t="inlineStr">
        <is>
          <t>Common</t>
        </is>
      </c>
      <c r="B5" s="19" t="n">
        <v>0</v>
      </c>
    </row>
    <row r="6">
      <c r="A6" s="7" t="inlineStr">
        <is>
          <t>Uncommon</t>
        </is>
      </c>
      <c r="B6" s="19" t="n">
        <v>0.1</v>
      </c>
    </row>
    <row r="7">
      <c r="A7" s="7" t="inlineStr">
        <is>
          <t>Rare</t>
        </is>
      </c>
      <c r="B7" s="19" t="n">
        <v>0.25</v>
      </c>
    </row>
    <row r="8">
      <c r="A8" s="7" t="inlineStr">
        <is>
          <t>Epic</t>
        </is>
      </c>
      <c r="B8" s="19" t="n">
        <v>0.5</v>
      </c>
    </row>
    <row r="11">
      <c r="A11" s="12" t="inlineStr">
        <is>
          <t>Flat weapon damage bonus - Bullet Bounce (Primary &amp; Secondary share values)</t>
        </is>
      </c>
      <c r="B11" s="13" t="n"/>
      <c r="C11" s="13" t="n"/>
      <c r="D11" s="13" t="n"/>
      <c r="E11" s="13" t="n"/>
      <c r="F11" s="13" t="n"/>
    </row>
    <row r="12">
      <c r="A12" s="2" t="inlineStr">
        <is>
          <t>Added to weapon baseDamagePerShot. Bounce count is not rarity-scaled: 1/2/3/4 by tier.</t>
        </is>
      </c>
    </row>
    <row r="13">
      <c r="A13" s="6" t="inlineStr">
        <is>
          <t>Tier</t>
        </is>
      </c>
      <c r="B13" s="6" t="inlineStr">
        <is>
          <t>Common</t>
        </is>
      </c>
      <c r="C13" s="6" t="inlineStr">
        <is>
          <t>Uncommon</t>
        </is>
      </c>
      <c r="D13" s="6" t="inlineStr">
        <is>
          <t>Rare</t>
        </is>
      </c>
      <c r="E13" s="6" t="inlineStr">
        <is>
          <t>Epic</t>
        </is>
      </c>
    </row>
    <row r="14">
      <c r="A14" s="7" t="inlineStr">
        <is>
          <t>Tier 1</t>
        </is>
      </c>
      <c r="B14" s="20">
        <f>ROUND(Upgrades!$J$22*(1+$B$5),0)</f>
        <v/>
      </c>
      <c r="C14" s="20">
        <f>ROUND(Upgrades!$J$22*(1+$B$6),0)</f>
        <v/>
      </c>
      <c r="D14" s="20">
        <f>ROUND(Upgrades!$J$22*(1+$B$7),0)</f>
        <v/>
      </c>
      <c r="E14" s="20">
        <f>ROUND(Upgrades!$J$22*(1+$B$8),0)</f>
        <v/>
      </c>
    </row>
    <row r="15">
      <c r="A15" s="7" t="inlineStr">
        <is>
          <t>Tier 2</t>
        </is>
      </c>
      <c r="B15" s="20">
        <f>ROUND(Upgrades!$K$22*(1+$B$5),0)</f>
        <v/>
      </c>
      <c r="C15" s="20">
        <f>ROUND(Upgrades!$K$22*(1+$B$6),0)</f>
        <v/>
      </c>
      <c r="D15" s="20">
        <f>ROUND(Upgrades!$K$22*(1+$B$7),0)</f>
        <v/>
      </c>
      <c r="E15" s="20">
        <f>ROUND(Upgrades!$K$22*(1+$B$8),0)</f>
        <v/>
      </c>
    </row>
    <row r="16">
      <c r="A16" s="7" t="inlineStr">
        <is>
          <t>Tier 3</t>
        </is>
      </c>
      <c r="B16" s="20">
        <f>ROUND(Upgrades!$L$22*(1+$B$5),0)</f>
        <v/>
      </c>
      <c r="C16" s="20">
        <f>ROUND(Upgrades!$L$22*(1+$B$6),0)</f>
        <v/>
      </c>
      <c r="D16" s="20">
        <f>ROUND(Upgrades!$L$22*(1+$B$7),0)</f>
        <v/>
      </c>
      <c r="E16" s="20">
        <f>ROUND(Upgrades!$L$22*(1+$B$8),0)</f>
        <v/>
      </c>
    </row>
    <row r="17">
      <c r="A17" s="7" t="inlineStr">
        <is>
          <t>Tier 4</t>
        </is>
      </c>
      <c r="B17" s="20">
        <f>ROUND(Upgrades!$M$22*(1+$B$5),0)</f>
        <v/>
      </c>
      <c r="C17" s="20">
        <f>ROUND(Upgrades!$M$22*(1+$B$6),0)</f>
        <v/>
      </c>
      <c r="D17" s="20">
        <f>ROUND(Upgrades!$M$22*(1+$B$7),0)</f>
        <v/>
      </c>
      <c r="E17" s="20">
        <f>ROUND(Upgrades!$M$22*(1+$B$8),0)</f>
        <v/>
      </c>
    </row>
    <row r="19">
      <c r="A19" s="12" t="inlineStr">
        <is>
          <t>Stomp damage bonus - Stomp Power (Mild)</t>
        </is>
      </c>
      <c r="B19" s="13" t="n"/>
      <c r="C19" s="13" t="n"/>
      <c r="D19" s="13" t="n"/>
      <c r="E19" s="13" t="n"/>
      <c r="F19" s="13" t="n"/>
    </row>
    <row r="20">
      <c r="A20" s="6" t="inlineStr">
        <is>
          <t>Tier</t>
        </is>
      </c>
      <c r="B20" s="6" t="inlineStr">
        <is>
          <t>Common</t>
        </is>
      </c>
      <c r="C20" s="6" t="inlineStr">
        <is>
          <t>Uncommon</t>
        </is>
      </c>
      <c r="D20" s="6" t="inlineStr">
        <is>
          <t>Rare</t>
        </is>
      </c>
      <c r="E20" s="6" t="inlineStr">
        <is>
          <t>Epic</t>
        </is>
      </c>
    </row>
    <row r="21">
      <c r="A21" s="7" t="inlineStr">
        <is>
          <t>Tier 1</t>
        </is>
      </c>
      <c r="B21" s="20">
        <f>ROUND(Upgrades!$J$17*(1+$B$5),0)</f>
        <v/>
      </c>
      <c r="C21" s="20">
        <f>ROUND(Upgrades!$J$17*(1+$B$6),0)</f>
        <v/>
      </c>
      <c r="D21" s="20">
        <f>ROUND(Upgrades!$J$17*(1+$B$7),0)</f>
        <v/>
      </c>
      <c r="E21" s="20">
        <f>ROUND(Upgrades!$J$17*(1+$B$8),0)</f>
        <v/>
      </c>
    </row>
    <row r="22">
      <c r="A22" s="7" t="inlineStr">
        <is>
          <t>Tier 2</t>
        </is>
      </c>
      <c r="B22" s="20">
        <f>ROUND(Upgrades!$K$17*(1+$B$5),0)</f>
        <v/>
      </c>
      <c r="C22" s="20">
        <f>ROUND(Upgrades!$K$17*(1+$B$6),0)</f>
        <v/>
      </c>
      <c r="D22" s="20">
        <f>ROUND(Upgrades!$K$17*(1+$B$7),0)</f>
        <v/>
      </c>
      <c r="E22" s="20">
        <f>ROUND(Upgrades!$K$17*(1+$B$8),0)</f>
        <v/>
      </c>
    </row>
    <row r="23">
      <c r="A23" s="7" t="inlineStr">
        <is>
          <t>Tier 3</t>
        </is>
      </c>
      <c r="B23" s="20">
        <f>ROUND(Upgrades!$L$17*(1+$B$5),0)</f>
        <v/>
      </c>
      <c r="C23" s="20">
        <f>ROUND(Upgrades!$L$17*(1+$B$6),0)</f>
        <v/>
      </c>
      <c r="D23" s="20">
        <f>ROUND(Upgrades!$L$17*(1+$B$7),0)</f>
        <v/>
      </c>
      <c r="E23" s="20">
        <f>ROUND(Upgrades!$L$17*(1+$B$8),0)</f>
        <v/>
      </c>
    </row>
    <row r="24">
      <c r="A24" s="7" t="inlineStr">
        <is>
          <t>Tier 4</t>
        </is>
      </c>
      <c r="B24" s="20">
        <f>ROUND(Upgrades!$M$17*(1+$B$5),0)</f>
        <v/>
      </c>
      <c r="C24" s="20">
        <f>ROUND(Upgrades!$M$17*(1+$B$6),0)</f>
        <v/>
      </c>
      <c r="D24" s="20">
        <f>ROUND(Upgrades!$M$17*(1+$B$7),0)</f>
        <v/>
      </c>
      <c r="E24" s="20">
        <f>ROUND(Upgrades!$M$17*(1+$B$8),0)</f>
        <v/>
      </c>
    </row>
    <row r="26">
      <c r="A26" s="12" t="inlineStr">
        <is>
          <t>Stomp damage bonus - Stomp Circle (Regular; also = damage of EACH ring bullet)</t>
        </is>
      </c>
      <c r="B26" s="13" t="n"/>
      <c r="C26" s="13" t="n"/>
      <c r="D26" s="13" t="n"/>
      <c r="E26" s="13" t="n"/>
      <c r="F26" s="13" t="n"/>
    </row>
    <row r="27">
      <c r="A27" s="2" t="inlineStr">
        <is>
          <t>Ring bullet count by tier: 4/6/8/10 (not rarity-scaled).</t>
        </is>
      </c>
    </row>
    <row r="28">
      <c r="A28" s="6" t="inlineStr">
        <is>
          <t>Tier</t>
        </is>
      </c>
      <c r="B28" s="6" t="inlineStr">
        <is>
          <t>Common</t>
        </is>
      </c>
      <c r="C28" s="6" t="inlineStr">
        <is>
          <t>Uncommon</t>
        </is>
      </c>
      <c r="D28" s="6" t="inlineStr">
        <is>
          <t>Rare</t>
        </is>
      </c>
      <c r="E28" s="6" t="inlineStr">
        <is>
          <t>Epic</t>
        </is>
      </c>
    </row>
    <row r="29">
      <c r="A29" s="7" t="inlineStr">
        <is>
          <t>Tier 1</t>
        </is>
      </c>
      <c r="B29" s="20">
        <f>ROUND(Upgrades!$J$26*(1+$B$5),0)</f>
        <v/>
      </c>
      <c r="C29" s="20">
        <f>ROUND(Upgrades!$J$26*(1+$B$6),0)</f>
        <v/>
      </c>
      <c r="D29" s="20">
        <f>ROUND(Upgrades!$J$26*(1+$B$7),0)</f>
        <v/>
      </c>
      <c r="E29" s="20">
        <f>ROUND(Upgrades!$J$26*(1+$B$8),0)</f>
        <v/>
      </c>
    </row>
    <row r="30">
      <c r="A30" s="7" t="inlineStr">
        <is>
          <t>Tier 2</t>
        </is>
      </c>
      <c r="B30" s="20">
        <f>ROUND(Upgrades!$K$26*(1+$B$5),0)</f>
        <v/>
      </c>
      <c r="C30" s="20">
        <f>ROUND(Upgrades!$K$26*(1+$B$6),0)</f>
        <v/>
      </c>
      <c r="D30" s="20">
        <f>ROUND(Upgrades!$K$26*(1+$B$7),0)</f>
        <v/>
      </c>
      <c r="E30" s="20">
        <f>ROUND(Upgrades!$K$26*(1+$B$8),0)</f>
        <v/>
      </c>
    </row>
    <row r="31">
      <c r="A31" s="7" t="inlineStr">
        <is>
          <t>Tier 3</t>
        </is>
      </c>
      <c r="B31" s="20">
        <f>ROUND(Upgrades!$L$26*(1+$B$5),0)</f>
        <v/>
      </c>
      <c r="C31" s="20">
        <f>ROUND(Upgrades!$L$26*(1+$B$6),0)</f>
        <v/>
      </c>
      <c r="D31" s="20">
        <f>ROUND(Upgrades!$L$26*(1+$B$7),0)</f>
        <v/>
      </c>
      <c r="E31" s="20">
        <f>ROUND(Upgrades!$L$26*(1+$B$8),0)</f>
        <v/>
      </c>
    </row>
    <row r="32">
      <c r="A32" s="7" t="inlineStr">
        <is>
          <t>Tier 4</t>
        </is>
      </c>
      <c r="B32" s="20">
        <f>ROUND(Upgrades!$M$26*(1+$B$5),0)</f>
        <v/>
      </c>
      <c r="C32" s="20">
        <f>ROUND(Upgrades!$M$26*(1+$B$6),0)</f>
        <v/>
      </c>
      <c r="D32" s="20">
        <f>ROUND(Upgrades!$M$26*(1+$B$7),0)</f>
        <v/>
      </c>
      <c r="E32" s="20">
        <f>ROUND(Upgrades!$M$26*(1+$B$8),0)</f>
        <v/>
      </c>
    </row>
    <row r="34">
      <c r="A34" s="12" t="inlineStr">
        <is>
          <t>Dash AoE damage (once per enemy per dash)</t>
        </is>
      </c>
      <c r="B34" s="13" t="n"/>
      <c r="C34" s="13" t="n"/>
      <c r="D34" s="13" t="n"/>
      <c r="E34" s="13" t="n"/>
      <c r="F34" s="13" t="n"/>
    </row>
    <row r="35">
      <c r="A35" s="6" t="inlineStr">
        <is>
          <t>Tier</t>
        </is>
      </c>
      <c r="B35" s="6" t="inlineStr">
        <is>
          <t>Common</t>
        </is>
      </c>
      <c r="C35" s="6" t="inlineStr">
        <is>
          <t>Uncommon</t>
        </is>
      </c>
      <c r="D35" s="6" t="inlineStr">
        <is>
          <t>Rare</t>
        </is>
      </c>
      <c r="E35" s="6" t="inlineStr">
        <is>
          <t>Epic</t>
        </is>
      </c>
    </row>
    <row r="36">
      <c r="A36" s="7" t="inlineStr">
        <is>
          <t>Tier 1</t>
        </is>
      </c>
      <c r="B36" s="20">
        <f>ROUND(Upgrades!$J$19*(1+$B$5),0)</f>
        <v/>
      </c>
      <c r="C36" s="20">
        <f>ROUND(Upgrades!$J$19*(1+$B$6),0)</f>
        <v/>
      </c>
      <c r="D36" s="20">
        <f>ROUND(Upgrades!$J$19*(1+$B$7),0)</f>
        <v/>
      </c>
      <c r="E36" s="20">
        <f>ROUND(Upgrades!$J$19*(1+$B$8),0)</f>
        <v/>
      </c>
    </row>
    <row r="37">
      <c r="A37" s="7" t="inlineStr">
        <is>
          <t>Tier 2</t>
        </is>
      </c>
      <c r="B37" s="20">
        <f>ROUND(Upgrades!$K$19*(1+$B$5),0)</f>
        <v/>
      </c>
      <c r="C37" s="20">
        <f>ROUND(Upgrades!$K$19*(1+$B$6),0)</f>
        <v/>
      </c>
      <c r="D37" s="20">
        <f>ROUND(Upgrades!$K$19*(1+$B$7),0)</f>
        <v/>
      </c>
      <c r="E37" s="20">
        <f>ROUND(Upgrades!$K$19*(1+$B$8),0)</f>
        <v/>
      </c>
    </row>
    <row r="38">
      <c r="A38" s="7" t="inlineStr">
        <is>
          <t>Tier 3</t>
        </is>
      </c>
      <c r="B38" s="20">
        <f>ROUND(Upgrades!$L$19*(1+$B$5),0)</f>
        <v/>
      </c>
      <c r="C38" s="20">
        <f>ROUND(Upgrades!$L$19*(1+$B$6),0)</f>
        <v/>
      </c>
      <c r="D38" s="20">
        <f>ROUND(Upgrades!$L$19*(1+$B$7),0)</f>
        <v/>
      </c>
      <c r="E38" s="20">
        <f>ROUND(Upgrades!$L$19*(1+$B$8),0)</f>
        <v/>
      </c>
    </row>
    <row r="39">
      <c r="A39" s="7" t="inlineStr">
        <is>
          <t>Tier 4</t>
        </is>
      </c>
      <c r="B39" s="20">
        <f>ROUND(Upgrades!$M$19*(1+$B$5),0)</f>
        <v/>
      </c>
      <c r="C39" s="20">
        <f>ROUND(Upgrades!$M$19*(1+$B$6),0)</f>
        <v/>
      </c>
      <c r="D39" s="20">
        <f>ROUND(Upgrades!$M$19*(1+$B$7),0)</f>
        <v/>
      </c>
      <c r="E39" s="20">
        <f>ROUND(Upgrades!$M$19*(1+$B$8),0)</f>
        <v/>
      </c>
    </row>
    <row r="41">
      <c r="A41" s="12" t="inlineStr">
        <is>
          <t>Dash AoE knockback impulse</t>
        </is>
      </c>
      <c r="B41" s="13" t="n"/>
      <c r="C41" s="13" t="n"/>
      <c r="D41" s="13" t="n"/>
      <c r="E41" s="13" t="n"/>
      <c r="F41" s="13" t="n"/>
    </row>
    <row r="42">
      <c r="A42" s="2" t="inlineStr">
        <is>
          <t>For scale: an ordinary hit applies Enemy.knockbackStrength = 25 in the current prefabs.</t>
        </is>
      </c>
    </row>
    <row r="43">
      <c r="A43" s="6" t="inlineStr">
        <is>
          <t>Tier</t>
        </is>
      </c>
      <c r="B43" s="6" t="inlineStr">
        <is>
          <t>Common</t>
        </is>
      </c>
      <c r="C43" s="6" t="inlineStr">
        <is>
          <t>Uncommon</t>
        </is>
      </c>
      <c r="D43" s="6" t="inlineStr">
        <is>
          <t>Rare</t>
        </is>
      </c>
      <c r="E43" s="6" t="inlineStr">
        <is>
          <t>Epic</t>
        </is>
      </c>
    </row>
    <row r="44">
      <c r="A44" s="7" t="inlineStr">
        <is>
          <t>Tier 1</t>
        </is>
      </c>
      <c r="B44" s="21">
        <f>Upgrades!$J$20*(1+$B$5)</f>
        <v/>
      </c>
      <c r="C44" s="21">
        <f>Upgrades!$J$20*(1+$B$6)</f>
        <v/>
      </c>
      <c r="D44" s="21">
        <f>Upgrades!$J$20*(1+$B$7)</f>
        <v/>
      </c>
      <c r="E44" s="21">
        <f>Upgrades!$J$20*(1+$B$8)</f>
        <v/>
      </c>
    </row>
    <row r="45">
      <c r="A45" s="7" t="inlineStr">
        <is>
          <t>Tier 2</t>
        </is>
      </c>
      <c r="B45" s="21">
        <f>Upgrades!$K$20*(1+$B$5)</f>
        <v/>
      </c>
      <c r="C45" s="21">
        <f>Upgrades!$K$20*(1+$B$6)</f>
        <v/>
      </c>
      <c r="D45" s="21">
        <f>Upgrades!$K$20*(1+$B$7)</f>
        <v/>
      </c>
      <c r="E45" s="21">
        <f>Upgrades!$K$20*(1+$B$8)</f>
        <v/>
      </c>
    </row>
    <row r="46">
      <c r="A46" s="7" t="inlineStr">
        <is>
          <t>Tier 3</t>
        </is>
      </c>
      <c r="B46" s="21">
        <f>Upgrades!$L$20*(1+$B$5)</f>
        <v/>
      </c>
      <c r="C46" s="21">
        <f>Upgrades!$L$20*(1+$B$6)</f>
        <v/>
      </c>
      <c r="D46" s="21">
        <f>Upgrades!$L$20*(1+$B$7)</f>
        <v/>
      </c>
      <c r="E46" s="21">
        <f>Upgrades!$L$20*(1+$B$8)</f>
        <v/>
      </c>
    </row>
    <row r="47">
      <c r="A47" s="7" t="inlineStr">
        <is>
          <t>Tier 4</t>
        </is>
      </c>
      <c r="B47" s="21">
        <f>Upgrades!$M$20*(1+$B$5)</f>
        <v/>
      </c>
      <c r="C47" s="21">
        <f>Upgrades!$M$20*(1+$B$6)</f>
        <v/>
      </c>
      <c r="D47" s="21">
        <f>Upgrades!$M$20*(1+$B$7)</f>
        <v/>
      </c>
      <c r="E47" s="21">
        <f>Upgrades!$M$20*(1+$B$8)</f>
        <v/>
      </c>
    </row>
    <row r="49">
      <c r="A49" s="12" t="inlineStr">
        <is>
          <t>Crit damage multiplier (Mild Primary/Secondary): total = 1 + (baseCritDamageMultiplier - 1) * (1 + rarity bonus)</t>
        </is>
      </c>
      <c r="B49" s="13" t="n"/>
      <c r="C49" s="13" t="n"/>
      <c r="D49" s="13" t="n"/>
      <c r="E49" s="13" t="n"/>
      <c r="F49" s="13" t="n"/>
    </row>
    <row r="50">
      <c r="A50" s="6" t="inlineStr"/>
      <c r="B50" s="6" t="inlineStr">
        <is>
          <t>Common</t>
        </is>
      </c>
      <c r="C50" s="6" t="inlineStr">
        <is>
          <t>Uncommon</t>
        </is>
      </c>
      <c r="D50" s="6" t="inlineStr">
        <is>
          <t>Rare</t>
        </is>
      </c>
      <c r="E50" s="6" t="inlineStr">
        <is>
          <t>Epic</t>
        </is>
      </c>
    </row>
    <row r="51">
      <c r="A51" s="7" t="inlineStr">
        <is>
          <t>Total crit multiplier</t>
        </is>
      </c>
      <c r="B51" s="22">
        <f>1+(Upgrades!$N$14-1)*(1+$B$5)</f>
        <v/>
      </c>
      <c r="C51" s="22">
        <f>1+(Upgrades!$N$14-1)*(1+$B$6)</f>
        <v/>
      </c>
      <c r="D51" s="22">
        <f>1+(Upgrades!$N$14-1)*(1+$B$7)</f>
        <v/>
      </c>
      <c r="E51" s="22">
        <f>1+(Upgrades!$N$14-1)*(1+$B$8)</f>
        <v/>
      </c>
    </row>
    <row r="52">
      <c r="A52" s="7" t="inlineStr">
        <is>
          <t>Crit chance by tier (not rarity-scaled)</t>
        </is>
      </c>
      <c r="B52" s="23">
        <f>Upgrades!J13</f>
        <v/>
      </c>
      <c r="C52" s="23">
        <f>Upgrades!K13</f>
        <v/>
      </c>
      <c r="D52" s="23">
        <f>Upgrades!L13</f>
        <v/>
      </c>
      <c r="E52" s="23">
        <f>Upgrades!M13</f>
        <v/>
      </c>
    </row>
    <row r="53">
      <c r="A53" s="7" t="inlineStr">
        <is>
          <t>Expected damage multiplier at Tier 4 (chance x mult + (1-chance))</t>
        </is>
      </c>
      <c r="B53" s="22">
        <f>Upgrades!$M$13*(1+(Upgrades!$N$14-1)*(1+$B$5))+(1-Upgrades!$M$13)</f>
        <v/>
      </c>
      <c r="C53" s="22">
        <f>Upgrades!$M$13*(1+(Upgrades!$N$14-1)*(1+$B$6))+(1-Upgrades!$M$13)</f>
        <v/>
      </c>
      <c r="D53" s="22">
        <f>Upgrades!$M$13*(1+(Upgrades!$N$14-1)*(1+$B$7))+(1-Upgrades!$M$13)</f>
        <v/>
      </c>
      <c r="E53" s="22">
        <f>Upgrades!$M$13*(1+(Upgrades!$N$14-1)*(1+$B$8))+(1-Upgrades!$M$13)</f>
        <v/>
      </c>
    </row>
    <row r="55">
      <c r="A55" s="2" t="inlineStr">
        <is>
          <t>Rounding note: Excel ROUND sends .5 up; Unity Mathf.RoundToInt rounds .5 to the nearest even number, so a few cells (e.g. 16.5) can be 1 lower in game.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22" customWidth="1" min="3" max="3"/>
    <col width="26" customWidth="1" min="4" max="4"/>
    <col width="9" customWidth="1" min="5" max="5"/>
    <col width="11" customWidth="1" min="6" max="6"/>
    <col width="14" customWidth="1" min="7" max="7"/>
    <col width="14" customWidth="1" min="8" max="8"/>
    <col width="11" customWidth="1" min="9" max="9"/>
    <col width="11" customWidth="1" min="10" max="10"/>
    <col width="9" customWidth="1" min="11" max="11"/>
    <col width="9" customWidth="1" min="12" max="12"/>
    <col width="10" customWidth="1" min="13" max="13"/>
    <col width="10" customWidth="1" min="14" max="14"/>
    <col width="10" customWidth="1" min="15" max="15"/>
    <col width="12" customWidth="1" min="16" max="16"/>
    <col width="10" customWidth="1" min="17" max="17"/>
    <col width="70" customWidth="1" min="18" max="18"/>
  </cols>
  <sheetData>
    <row r="1">
      <c r="A1" s="1" t="inlineStr">
        <is>
          <t>Enemies - comparison table</t>
        </is>
      </c>
    </row>
    <row r="2">
      <c r="A2" s="2" t="inlineStr">
        <is>
          <t>Values are the serialized prefab values (what the game actually uses), not script defaults. Yellow = worth a look, see Findings sheet.</t>
        </is>
      </c>
    </row>
    <row r="4">
      <c r="A4" s="6" t="inlineStr">
        <is>
          <t>Enemy</t>
        </is>
      </c>
      <c r="B4" s="6" t="inlineStr">
        <is>
          <t>Prefab</t>
        </is>
      </c>
      <c r="C4" s="6" t="inlineStr">
        <is>
          <t>Script</t>
        </is>
      </c>
      <c r="D4" s="6" t="inlineStr">
        <is>
          <t>In spawner roster?</t>
        </is>
      </c>
      <c r="E4" s="6" t="inlineStr">
        <is>
          <t>Max HP</t>
        </is>
      </c>
      <c r="F4" s="6" t="inlineStr">
        <is>
          <t>Move speed (u/s)</t>
        </is>
      </c>
      <c r="G4" s="6" t="inlineStr">
        <is>
          <t>Contact attackDamage field</t>
        </is>
      </c>
      <c r="H4" s="6" t="inlineStr">
        <is>
          <t>Effective dmg to player (coins/hit)</t>
        </is>
      </c>
      <c r="I4" s="6" t="inlineStr">
        <is>
          <t>Attack cooldown (s)</t>
        </is>
      </c>
      <c r="J4" s="6" t="inlineStr">
        <is>
          <t>Knockback strength</t>
        </is>
      </c>
      <c r="K4" s="6" t="inlineStr">
        <is>
          <t>Coins min</t>
        </is>
      </c>
      <c r="L4" s="6" t="inlineStr">
        <is>
          <t>Coins max</t>
        </is>
      </c>
      <c r="M4" s="6" t="inlineStr">
        <is>
          <t>Avg coins (formula)</t>
        </is>
      </c>
      <c r="N4" s="6" t="inlineStr">
        <is>
          <t>Spawner budget cost</t>
        </is>
      </c>
      <c r="O4" s="6" t="inlineStr">
        <is>
          <t>Spawner weight</t>
        </is>
      </c>
      <c r="P4" s="6" t="inlineStr">
        <is>
          <t>Spawner max allowed (lifetime)</t>
        </is>
      </c>
      <c r="Q4" s="6" t="inlineStr">
        <is>
          <t>Spawner group size</t>
        </is>
      </c>
      <c r="R4" s="6" t="inlineStr">
        <is>
          <t>Notes</t>
        </is>
      </c>
    </row>
    <row r="5">
      <c r="A5" s="7" t="inlineStr">
        <is>
          <t>Enemy 1</t>
        </is>
      </c>
      <c r="B5" s="7" t="inlineStr">
        <is>
          <t>Assets/Prefabs/Enemies/Enemy 1.prefab</t>
        </is>
      </c>
      <c r="C5" s="7" t="inlineStr">
        <is>
          <t>Enemy + EnemyMovement</t>
        </is>
      </c>
      <c r="D5" s="7" t="inlineStr">
        <is>
          <t>YES</t>
        </is>
      </c>
      <c r="E5" s="7" t="n">
        <v>50</v>
      </c>
      <c r="F5" s="7" t="n">
        <v>4</v>
      </c>
      <c r="G5" s="7" t="n">
        <v>25</v>
      </c>
      <c r="H5" s="20">
        <f>Player!$C$6</f>
        <v/>
      </c>
      <c r="I5" s="7" t="n">
        <v>1.5</v>
      </c>
      <c r="J5" s="7" t="n">
        <v>25</v>
      </c>
      <c r="K5" s="7" t="n">
        <v>4</v>
      </c>
      <c r="L5" s="7" t="n">
        <v>8</v>
      </c>
      <c r="M5" s="7">
        <f>(K5+L5)/2</f>
        <v/>
      </c>
      <c r="N5" s="7" t="n">
        <v>10</v>
      </c>
      <c r="O5" s="7" t="n">
        <v>2</v>
      </c>
      <c r="P5" s="7" t="n">
        <v>12</v>
      </c>
      <c r="Q5" s="7" t="n">
        <v>8</v>
      </c>
      <c r="R5" s="7" t="inlineStr">
        <is>
          <t>Melee lunger. attackDamage is NOT read by PlayerHealth (flat coins-per-hit instead).</t>
        </is>
      </c>
    </row>
    <row r="6">
      <c r="A6" s="7" t="inlineStr">
        <is>
          <t>Enemy 2</t>
        </is>
      </c>
      <c r="B6" s="7" t="inlineStr">
        <is>
          <t>Assets/Prefabs/Enemies/Enemy 2.prefab</t>
        </is>
      </c>
      <c r="C6" s="7" t="inlineStr">
        <is>
          <t>Enemy + EnemyMovement</t>
        </is>
      </c>
      <c r="D6" s="7" t="inlineStr">
        <is>
          <t>no (not referenced by spawner prefab)</t>
        </is>
      </c>
      <c r="E6" s="7" t="n">
        <v>100</v>
      </c>
      <c r="F6" s="7" t="n">
        <v>4</v>
      </c>
      <c r="G6" s="7" t="n">
        <v>25</v>
      </c>
      <c r="H6" s="20">
        <f>Player!$C$6</f>
        <v/>
      </c>
      <c r="I6" s="7" t="n">
        <v>1.5</v>
      </c>
      <c r="J6" s="7" t="n">
        <v>25</v>
      </c>
      <c r="K6" s="7" t="n">
        <v>1</v>
      </c>
      <c r="L6" s="7" t="n">
        <v>3</v>
      </c>
      <c r="M6" s="7">
        <f>(K6+L6)/2</f>
        <v/>
      </c>
      <c r="N6" s="7" t="inlineStr"/>
      <c r="O6" s="7" t="inlineStr"/>
      <c r="P6" s="7" t="inlineStr"/>
      <c r="Q6" s="7" t="inlineStr"/>
      <c r="R6" s="7" t="inlineStr">
        <is>
          <t>Melee lunger. attackDamage is NOT read by PlayerHealth (flat coins-per-hit instead).</t>
        </is>
      </c>
    </row>
    <row r="7">
      <c r="A7" s="7" t="inlineStr">
        <is>
          <t>Enemy 3</t>
        </is>
      </c>
      <c r="B7" s="7" t="inlineStr">
        <is>
          <t>Assets/Prefabs/Enemies/Enemy 3.prefab</t>
        </is>
      </c>
      <c r="C7" s="7" t="inlineStr">
        <is>
          <t>Enemy + EnemyMovement</t>
        </is>
      </c>
      <c r="D7" s="7" t="inlineStr">
        <is>
          <t>no (not referenced by spawner prefab)</t>
        </is>
      </c>
      <c r="E7" s="7" t="n">
        <v>150</v>
      </c>
      <c r="F7" s="7" t="n">
        <v>4</v>
      </c>
      <c r="G7" s="7" t="n">
        <v>25</v>
      </c>
      <c r="H7" s="20">
        <f>Player!$C$6</f>
        <v/>
      </c>
      <c r="I7" s="7" t="n">
        <v>1.5</v>
      </c>
      <c r="J7" s="7" t="n">
        <v>25</v>
      </c>
      <c r="K7" s="7" t="n">
        <v>1</v>
      </c>
      <c r="L7" s="7" t="n">
        <v>3</v>
      </c>
      <c r="M7" s="7">
        <f>(K7+L7)/2</f>
        <v/>
      </c>
      <c r="N7" s="7" t="inlineStr"/>
      <c r="O7" s="7" t="inlineStr"/>
      <c r="P7" s="7" t="inlineStr"/>
      <c r="Q7" s="7" t="inlineStr"/>
      <c r="R7" s="7" t="inlineStr">
        <is>
          <t>Melee lunger. attackDamage is NOT read by PlayerHealth (flat coins-per-hit instead).</t>
        </is>
      </c>
    </row>
    <row r="8">
      <c r="A8" s="7" t="inlineStr">
        <is>
          <t>Enemy (base prefab)</t>
        </is>
      </c>
      <c r="B8" s="7" t="inlineStr">
        <is>
          <t>Assets/Prefabs/Enemies/Enemy.prefab</t>
        </is>
      </c>
      <c r="C8" s="7" t="inlineStr">
        <is>
          <t>Enemy + EnemyMovement</t>
        </is>
      </c>
      <c r="D8" s="7" t="inlineStr">
        <is>
          <t>no (base/template; 'Steve' instance inactive in scenes)</t>
        </is>
      </c>
      <c r="E8" s="7" t="n">
        <v>40</v>
      </c>
      <c r="F8" s="7" t="n">
        <v>3</v>
      </c>
      <c r="G8" s="7" t="n">
        <v>25</v>
      </c>
      <c r="H8" s="20">
        <f>Player!$C$6</f>
        <v/>
      </c>
      <c r="I8" s="7" t="n">
        <v>1.5</v>
      </c>
      <c r="J8" s="7" t="n">
        <v>25</v>
      </c>
      <c r="K8" s="7" t="n">
        <v>1</v>
      </c>
      <c r="L8" s="7" t="n">
        <v>3</v>
      </c>
      <c r="M8" s="7">
        <f>(K8+L8)/2</f>
        <v/>
      </c>
      <c r="N8" s="7" t="inlineStr"/>
      <c r="O8" s="7" t="inlineStr"/>
      <c r="P8" s="7" t="inlineStr"/>
      <c r="Q8" s="7" t="inlineStr"/>
      <c r="R8" s="7" t="inlineStr">
        <is>
          <t>Older template. EnemyMovement here only has speed/drag fields (lunge fields exist only on Enemy 1-3).</t>
        </is>
      </c>
    </row>
    <row r="9">
      <c r="A9" s="9" t="inlineStr">
        <is>
          <t>Ranged (Triangle/Squid)</t>
        </is>
      </c>
      <c r="B9" s="9" t="inlineStr">
        <is>
          <t>Assets/Prefabs/Enemies/RangedEnemy/RangedEnemy.prefab</t>
        </is>
      </c>
      <c r="C9" s="9" t="inlineStr">
        <is>
          <t>TriangleEnemy</t>
        </is>
      </c>
      <c r="D9" s="9" t="inlineStr">
        <is>
          <t>YES</t>
        </is>
      </c>
      <c r="E9" s="9" t="n">
        <v>150</v>
      </c>
      <c r="F9" s="9" t="n">
        <v>3</v>
      </c>
      <c r="G9" s="9" t="n">
        <v>10</v>
      </c>
      <c r="H9" s="24">
        <f>Player!$C$6</f>
        <v/>
      </c>
      <c r="I9" s="9" t="n">
        <v>1</v>
      </c>
      <c r="J9" s="9" t="inlineStr">
        <is>
          <t>n/a</t>
        </is>
      </c>
      <c r="K9" s="9" t="inlineStr">
        <is>
          <t>n/a (drops no coins)</t>
        </is>
      </c>
      <c r="L9" s="9" t="inlineStr">
        <is>
          <t>n/a</t>
        </is>
      </c>
      <c r="M9" s="9" t="n">
        <v>0</v>
      </c>
      <c r="N9" s="9" t="n">
        <v>50</v>
      </c>
      <c r="O9" s="9" t="n">
        <v>1</v>
      </c>
      <c r="P9" s="9" t="n">
        <v>2</v>
      </c>
      <c r="Q9" s="9" t="n">
        <v>1</v>
      </c>
      <c r="R9" s="9" t="inlineStr">
        <is>
          <t>Ranged: attackDamage column = bulletDamage. Fires 2 bullets/burst. Does not drop coins (no drop code). Registers kills.</t>
        </is>
      </c>
    </row>
    <row r="10">
      <c r="A10" s="9" t="inlineStr">
        <is>
          <t>Cthulhu Eye</t>
        </is>
      </c>
      <c r="B10" s="9" t="inlineStr">
        <is>
          <t>Assets/Prefabs/Cthullu eye miniboss/CuthuluEye.prefab</t>
        </is>
      </c>
      <c r="C10" s="9" t="inlineStr">
        <is>
          <t>CthulhuEyeEnemy</t>
        </is>
      </c>
      <c r="D10" s="9" t="inlineStr">
        <is>
          <t>YES</t>
        </is>
      </c>
      <c r="E10" s="9" t="n">
        <v>300</v>
      </c>
      <c r="F10" s="9" t="n">
        <v>2</v>
      </c>
      <c r="G10" s="9" t="inlineStr">
        <is>
          <t>n/a (spawns pentagrams)</t>
        </is>
      </c>
      <c r="H10" s="24" t="inlineStr">
        <is>
          <t>see Pentagram table</t>
        </is>
      </c>
      <c r="I10" s="9" t="n">
        <v>5</v>
      </c>
      <c r="J10" s="9" t="inlineStr">
        <is>
          <t>n/a</t>
        </is>
      </c>
      <c r="K10" s="9" t="inlineStr">
        <is>
          <t>n/a (drops no coins)</t>
        </is>
      </c>
      <c r="L10" s="9" t="inlineStr">
        <is>
          <t>n/a</t>
        </is>
      </c>
      <c r="M10" s="9" t="n">
        <v>0</v>
      </c>
      <c r="N10" s="9" t="n">
        <v>100</v>
      </c>
      <c r="O10" s="9" t="n">
        <v>1</v>
      </c>
      <c r="P10" s="9" t="n">
        <v>1</v>
      </c>
      <c r="Q10" s="9" t="n">
        <v>1</v>
      </c>
      <c r="R10" s="9" t="inlineStr">
        <is>
          <t>Keeps preferredDistance from player; every attackCooldown drops a pentagram on the player. No coins, does NOT call EnemyKillTracker.</t>
        </is>
      </c>
    </row>
    <row r="11">
      <c r="A11" s="7" t="inlineStr">
        <is>
          <t>Boss - MiniBoss1</t>
        </is>
      </c>
      <c r="B11" s="7" t="inlineStr">
        <is>
          <t>Assets/Prefabs/Enemies/Boss_Prefab/MiniBoss1.prefab</t>
        </is>
      </c>
      <c r="C11" s="7" t="inlineStr">
        <is>
          <t>BossEnemy</t>
        </is>
      </c>
      <c r="D11" s="7" t="inlineStr">
        <is>
          <t>no (BossDefinition_01, BossArena)</t>
        </is>
      </c>
      <c r="E11" s="7" t="n">
        <v>4000</v>
      </c>
      <c r="F11" s="7" t="n">
        <v>6</v>
      </c>
      <c r="G11" s="7" t="n">
        <v>10</v>
      </c>
      <c r="H11" s="20">
        <f>Player!$C$6</f>
        <v/>
      </c>
      <c r="I11" s="7" t="n">
        <v>1.5</v>
      </c>
      <c r="J11" s="7" t="inlineStr">
        <is>
          <t>n/a</t>
        </is>
      </c>
      <c r="K11" s="7" t="n">
        <v>200</v>
      </c>
      <c r="L11" s="7" t="n">
        <v>250</v>
      </c>
      <c r="M11" s="7">
        <f>(K11+L11)/2</f>
        <v/>
      </c>
      <c r="N11" s="7" t="inlineStr"/>
      <c r="O11" s="7" t="inlineStr"/>
      <c r="P11" s="7" t="inlineStr"/>
      <c r="Q11" s="7" t="inlineStr"/>
      <c r="R11" s="7" t="inlineStr">
        <is>
          <t>See Boss sheet. HP is behind a separate 1000-HP shield that regenerates each cycle.</t>
        </is>
      </c>
    </row>
    <row r="12">
      <c r="A12" s="7" t="inlineStr">
        <is>
          <t>Boss1_Steve (legacy)</t>
        </is>
      </c>
      <c r="B12" s="7" t="inlineStr">
        <is>
          <t>Assets/Prefabs/Cthullu eye miniboss/Boss1_Steve.prefab</t>
        </is>
      </c>
      <c r="C12" s="7" t="inlineStr">
        <is>
          <t>BossEnemy</t>
        </is>
      </c>
      <c r="D12" s="7" t="inlineStr">
        <is>
          <t>no (legacy prefab)</t>
        </is>
      </c>
      <c r="E12" s="7" t="n">
        <v>500</v>
      </c>
      <c r="F12" s="7" t="n">
        <v>4</v>
      </c>
      <c r="G12" s="7" t="n">
        <v>10</v>
      </c>
      <c r="H12" s="20">
        <f>Player!$C$6</f>
        <v/>
      </c>
      <c r="I12" s="7" t="n">
        <v>1.5</v>
      </c>
      <c r="J12" s="7" t="inlineStr">
        <is>
          <t>n/a</t>
        </is>
      </c>
      <c r="K12" s="7" t="n">
        <v>10</v>
      </c>
      <c r="L12" s="7" t="n">
        <v>20</v>
      </c>
      <c r="M12" s="7">
        <f>(K12+L12)/2</f>
        <v/>
      </c>
      <c r="N12" s="7" t="inlineStr"/>
      <c r="O12" s="7" t="inlineStr"/>
      <c r="P12" s="7" t="inlineStr"/>
      <c r="Q12" s="7" t="inlineStr"/>
      <c r="R12" s="7" t="inlineStr">
        <is>
          <t>Earlier boss prefab, not used by BossDefinition_01.</t>
        </is>
      </c>
    </row>
    <row r="14">
      <c r="A14" s="12" t="inlineStr">
        <is>
          <t>Melee lunge / movement parameters (EnemyMovement)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</row>
    <row r="15">
      <c r="A15" s="6" t="inlineStr">
        <is>
          <t>Enemy</t>
        </is>
      </c>
      <c r="B15" s="6" t="inlineStr">
        <is>
          <t>speed</t>
        </is>
      </c>
      <c r="C15" s="6" t="inlineStr">
        <is>
          <t>rotationSpeed</t>
        </is>
      </c>
      <c r="D15" s="6" t="inlineStr">
        <is>
          <t>attackTriggerDistance</t>
        </is>
      </c>
      <c r="E15" s="6" t="inlineStr">
        <is>
          <t>windupDistance</t>
        </is>
      </c>
      <c r="F15" s="6" t="inlineStr">
        <is>
          <t>lungeForce</t>
        </is>
      </c>
      <c r="G15" s="6" t="inlineStr">
        <is>
          <t>lungeDrag</t>
        </is>
      </c>
      <c r="H15" s="6" t="inlineStr">
        <is>
          <t>squashAmount</t>
        </is>
      </c>
      <c r="I15" s="6" t="inlineStr">
        <is>
          <t>separationRadius</t>
        </is>
      </c>
      <c r="J15" s="6" t="inlineStr">
        <is>
          <t>separationForce</t>
        </is>
      </c>
      <c r="K15" s="6" t="inlineStr">
        <is>
          <t>hitboxRadius (EnemyHitboxSetup)</t>
        </is>
      </c>
      <c r="L15" s="6" t="inlineStr">
        <is>
          <t>Source</t>
        </is>
      </c>
    </row>
    <row r="16">
      <c r="A16" s="7" t="inlineStr">
        <is>
          <t>Enemy 1</t>
        </is>
      </c>
      <c r="B16" s="7" t="n">
        <v>4</v>
      </c>
      <c r="C16" s="7" t="n">
        <v>5</v>
      </c>
      <c r="D16" s="7" t="n">
        <v>2</v>
      </c>
      <c r="E16" s="7" t="n">
        <v>0.2</v>
      </c>
      <c r="F16" s="7" t="n">
        <v>20</v>
      </c>
      <c r="G16" s="7" t="n">
        <v>5</v>
      </c>
      <c r="H16" s="7" t="n">
        <v>1.2</v>
      </c>
      <c r="I16" s="7" t="n">
        <v>1</v>
      </c>
      <c r="J16" s="7" t="n">
        <v>3</v>
      </c>
      <c r="K16" s="7" t="n">
        <v>0.76</v>
      </c>
      <c r="L16" s="7" t="inlineStr">
        <is>
          <t>Assets/Prefabs/Enemies/Enemy 1.prefab</t>
        </is>
      </c>
    </row>
    <row r="17">
      <c r="A17" s="7" t="inlineStr">
        <is>
          <t>Enemy 2</t>
        </is>
      </c>
      <c r="B17" s="7" t="n">
        <v>4</v>
      </c>
      <c r="C17" s="7" t="n">
        <v>5</v>
      </c>
      <c r="D17" s="7" t="n">
        <v>3</v>
      </c>
      <c r="E17" s="7" t="n">
        <v>0.5</v>
      </c>
      <c r="F17" s="7" t="n">
        <v>15</v>
      </c>
      <c r="G17" s="7" t="n">
        <v>5</v>
      </c>
      <c r="H17" s="7" t="n">
        <v>0.7</v>
      </c>
      <c r="I17" s="7" t="n">
        <v>0.4</v>
      </c>
      <c r="J17" s="7" t="n">
        <v>3</v>
      </c>
      <c r="K17" s="7" t="n">
        <v>0.47</v>
      </c>
      <c r="L17" s="7" t="inlineStr">
        <is>
          <t>Assets/Prefabs/Enemies/Enemy 2.prefab</t>
        </is>
      </c>
    </row>
    <row r="18">
      <c r="A18" s="7" t="inlineStr">
        <is>
          <t>Enemy 3</t>
        </is>
      </c>
      <c r="B18" s="7" t="n">
        <v>4</v>
      </c>
      <c r="C18" s="7" t="n">
        <v>5</v>
      </c>
      <c r="D18" s="7" t="n">
        <v>3</v>
      </c>
      <c r="E18" s="7" t="n">
        <v>0.5</v>
      </c>
      <c r="F18" s="7" t="n">
        <v>15</v>
      </c>
      <c r="G18" s="7" t="n">
        <v>5</v>
      </c>
      <c r="H18" s="7" t="n">
        <v>0.7</v>
      </c>
      <c r="I18" s="7" t="n">
        <v>1.5</v>
      </c>
      <c r="J18" s="7" t="n">
        <v>3</v>
      </c>
      <c r="K18" s="7" t="n">
        <v>0.47</v>
      </c>
      <c r="L18" s="7" t="inlineStr">
        <is>
          <t>Assets/Prefabs/Enemies/Enemy 3.prefab</t>
        </is>
      </c>
    </row>
    <row r="19">
      <c r="A19" s="7" t="inlineStr">
        <is>
          <t>Enemy (base)</t>
        </is>
      </c>
      <c r="B19" s="7" t="n">
        <v>3</v>
      </c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>
        <is>
          <t>normalDrag=1, knockbackDrag=25 (base only)</t>
        </is>
      </c>
    </row>
    <row r="21">
      <c r="A21" s="12" t="inlineStr">
        <is>
          <t>Ranged enemy details (TriangleEnemy)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</row>
    <row r="22">
      <c r="A22" s="6" t="inlineStr">
        <is>
          <t>Parameter</t>
        </is>
      </c>
      <c r="B22" s="6" t="inlineStr">
        <is>
          <t>Value</t>
        </is>
      </c>
      <c r="C22" s="6" t="inlineStr">
        <is>
          <t>Unit</t>
        </is>
      </c>
      <c r="D22" s="6" t="inlineStr">
        <is>
          <t>Notes</t>
        </is>
      </c>
    </row>
    <row r="23">
      <c r="A23" s="7" t="inlineStr">
        <is>
          <t>maxHealth</t>
        </is>
      </c>
      <c r="B23" s="7" t="n">
        <v>150</v>
      </c>
      <c r="C23" s="7" t="inlineStr">
        <is>
          <t>HP</t>
        </is>
      </c>
      <c r="D23" s="7" t="inlineStr"/>
    </row>
    <row r="24">
      <c r="A24" s="7" t="inlineStr">
        <is>
          <t>bulletDamage</t>
        </is>
      </c>
      <c r="B24" s="7" t="n">
        <v>10</v>
      </c>
      <c r="C24" s="7" t="inlineStr">
        <is>
          <t>field</t>
        </is>
      </c>
      <c r="D24" s="7" t="inlineStr">
        <is>
          <t>Ignored by PlayerHealth (flat coins per hit)</t>
        </is>
      </c>
    </row>
    <row r="25">
      <c r="A25" s="7" t="inlineStr">
        <is>
          <t>bulletSpeed</t>
        </is>
      </c>
      <c r="B25" s="7" t="n">
        <v>4</v>
      </c>
      <c r="C25" s="7" t="inlineStr">
        <is>
          <t>u/s</t>
        </is>
      </c>
      <c r="D25" s="7" t="inlineStr"/>
    </row>
    <row r="26">
      <c r="A26" s="7" t="inlineStr">
        <is>
          <t>bulletLifetime</t>
        </is>
      </c>
      <c r="B26" s="7" t="n">
        <v>1</v>
      </c>
      <c r="C26" s="7" t="inlineStr">
        <is>
          <t>s</t>
        </is>
      </c>
      <c r="D26" s="7" t="inlineStr">
        <is>
          <t>-&gt; range = speed*lifetime = 4 u</t>
        </is>
      </c>
    </row>
    <row r="27">
      <c r="A27" s="7" t="inlineStr">
        <is>
          <t>fireRate</t>
        </is>
      </c>
      <c r="B27" s="7" t="n">
        <v>1</v>
      </c>
      <c r="C27" s="7" t="inlineStr">
        <is>
          <t>s between bursts</t>
        </is>
      </c>
      <c r="D27" s="7" t="inlineStr">
        <is>
          <t>2 bullets per burst (bulletSpread apart)</t>
        </is>
      </c>
    </row>
    <row r="28">
      <c r="A28" s="7" t="inlineStr">
        <is>
          <t>bulletSpread</t>
        </is>
      </c>
      <c r="B28" s="7" t="n">
        <v>10</v>
      </c>
      <c r="C28" s="7" t="inlineStr">
        <is>
          <t>deg</t>
        </is>
      </c>
      <c r="D28" s="7" t="inlineStr"/>
    </row>
    <row r="29">
      <c r="A29" s="7" t="inlineStr">
        <is>
          <t>minRange</t>
        </is>
      </c>
      <c r="B29" s="7" t="n">
        <v>2</v>
      </c>
      <c r="C29" s="7" t="inlineStr">
        <is>
          <t>u</t>
        </is>
      </c>
      <c r="D29" s="7" t="inlineStr">
        <is>
          <t>backs away inside this</t>
        </is>
      </c>
    </row>
    <row r="30">
      <c r="A30" s="7" t="inlineStr">
        <is>
          <t>maxRange</t>
        </is>
      </c>
      <c r="B30" s="7" t="n">
        <v>4</v>
      </c>
      <c r="C30" s="7" t="inlineStr">
        <is>
          <t>u</t>
        </is>
      </c>
      <c r="D30" s="7" t="inlineStr">
        <is>
          <t>moves in beyond this</t>
        </is>
      </c>
    </row>
    <row r="31">
      <c r="A31" s="7" t="inlineStr">
        <is>
          <t>moveSpeed</t>
        </is>
      </c>
      <c r="B31" s="7" t="n">
        <v>3</v>
      </c>
      <c r="C31" s="7" t="inlineStr">
        <is>
          <t>u/s</t>
        </is>
      </c>
      <c r="D31" s="7" t="inlineStr"/>
    </row>
    <row r="32">
      <c r="A32" s="7" t="inlineStr">
        <is>
          <t>roamTurnSpeed</t>
        </is>
      </c>
      <c r="B32" s="7" t="n">
        <v>90</v>
      </c>
      <c r="C32" s="7" t="inlineStr">
        <is>
          <t>deg/s</t>
        </is>
      </c>
      <c r="D32" s="7" t="inlineStr"/>
    </row>
    <row r="33">
      <c r="A33" s="7" t="inlineStr">
        <is>
          <t>wanderInterval</t>
        </is>
      </c>
      <c r="B33" s="7" t="n">
        <v>2</v>
      </c>
      <c r="C33" s="7" t="inlineStr">
        <is>
          <t>s</t>
        </is>
      </c>
      <c r="D33" s="7" t="inlineStr"/>
    </row>
    <row r="34">
      <c r="A34" s="7" t="inlineStr">
        <is>
          <t>wanderVariance</t>
        </is>
      </c>
      <c r="B34" s="7" t="n">
        <v>0.5</v>
      </c>
      <c r="C34" s="7" t="inlineStr">
        <is>
          <t>s</t>
        </is>
      </c>
      <c r="D34" s="7" t="inlineStr"/>
    </row>
    <row r="35">
      <c r="A35" s="7" t="inlineStr">
        <is>
          <t>attackTurnSpeed</t>
        </is>
      </c>
      <c r="B35" s="7" t="n">
        <v>320</v>
      </c>
      <c r="C35" s="7" t="inlineStr">
        <is>
          <t>deg/s</t>
        </is>
      </c>
      <c r="D35" s="7" t="inlineStr"/>
    </row>
    <row r="36">
      <c r="A36" s="7" t="inlineStr">
        <is>
          <t>aimTolerance</t>
        </is>
      </c>
      <c r="B36" s="7" t="n">
        <v>4</v>
      </c>
      <c r="C36" s="7" t="inlineStr">
        <is>
          <t>deg</t>
        </is>
      </c>
      <c r="D36" s="7" t="inlineStr"/>
    </row>
    <row r="37">
      <c r="A37" s="7" t="inlineStr">
        <is>
          <t>bullet range (derived)</t>
        </is>
      </c>
      <c r="B37" s="7">
        <f>B25*B26</f>
        <v/>
      </c>
      <c r="C37" s="7" t="inlineStr">
        <is>
          <t>u</t>
        </is>
      </c>
      <c r="D37" s="7" t="inlineStr">
        <is>
          <t>bulletSpeed * bulletLifetime (formula)</t>
        </is>
      </c>
    </row>
    <row r="39">
      <c r="A39" s="12" t="inlineStr">
        <is>
          <t>Cthulhu Eye + pentagram attacks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</row>
    <row r="40">
      <c r="A40" s="6" t="inlineStr">
        <is>
          <t>Parameter</t>
        </is>
      </c>
      <c r="B40" s="6" t="inlineStr">
        <is>
          <t>Value</t>
        </is>
      </c>
      <c r="C40" s="6" t="inlineStr">
        <is>
          <t>Unit</t>
        </is>
      </c>
      <c r="D40" s="6" t="inlineStr">
        <is>
          <t>Source / notes</t>
        </is>
      </c>
    </row>
    <row r="41">
      <c r="A41" s="7" t="inlineStr">
        <is>
          <t>maxHealth</t>
        </is>
      </c>
      <c r="B41" s="7" t="n">
        <v>300</v>
      </c>
      <c r="C41" s="7" t="inlineStr">
        <is>
          <t>HP</t>
        </is>
      </c>
      <c r="D41" s="7" t="inlineStr">
        <is>
          <t>Assets/Prefabs/Cthullu eye miniboss/CuthuluEye.prefab</t>
        </is>
      </c>
    </row>
    <row r="42">
      <c r="A42" s="7" t="inlineStr">
        <is>
          <t>moveSpeed</t>
        </is>
      </c>
      <c r="B42" s="7" t="n">
        <v>2</v>
      </c>
      <c r="C42" s="7" t="inlineStr">
        <is>
          <t>u/s</t>
        </is>
      </c>
      <c r="D42" s="7" t="inlineStr">
        <is>
          <t>Assets/Prefabs/Cthullu eye miniboss/CuthuluEye.prefab</t>
        </is>
      </c>
    </row>
    <row r="43">
      <c r="A43" s="7" t="inlineStr">
        <is>
          <t>preferredDistance</t>
        </is>
      </c>
      <c r="B43" s="7" t="n">
        <v>5</v>
      </c>
      <c r="C43" s="7" t="inlineStr">
        <is>
          <t>u</t>
        </is>
      </c>
      <c r="D43" s="7" t="inlineStr">
        <is>
          <t>Assets/Prefabs/Cthullu eye miniboss/CuthuluEye.prefab</t>
        </is>
      </c>
    </row>
    <row r="44">
      <c r="A44" s="7" t="inlineStr">
        <is>
          <t>distanceTolerance</t>
        </is>
      </c>
      <c r="B44" s="7" t="n">
        <v>1</v>
      </c>
      <c r="C44" s="7" t="inlineStr">
        <is>
          <t>u</t>
        </is>
      </c>
      <c r="D44" s="7" t="inlineStr">
        <is>
          <t>Assets/Prefabs/Cthullu eye miniboss/CuthuluEye.prefab</t>
        </is>
      </c>
    </row>
    <row r="45">
      <c r="A45" s="7" t="inlineStr">
        <is>
          <t>activationRadius</t>
        </is>
      </c>
      <c r="B45" s="7" t="n">
        <v>20</v>
      </c>
      <c r="C45" s="7" t="inlineStr">
        <is>
          <t>u</t>
        </is>
      </c>
      <c r="D45" s="7" t="inlineStr">
        <is>
          <t>Assets/Prefabs/Cthullu eye miniboss/CuthuluEye.prefab</t>
        </is>
      </c>
    </row>
    <row r="46">
      <c r="A46" s="7" t="inlineStr">
        <is>
          <t>activationDelay</t>
        </is>
      </c>
      <c r="B46" s="7" t="n">
        <v>2</v>
      </c>
      <c r="C46" s="7" t="inlineStr">
        <is>
          <t>s</t>
        </is>
      </c>
      <c r="D46" s="7" t="inlineStr">
        <is>
          <t>Assets/Prefabs/Cthullu eye miniboss/CuthuluEye.prefab</t>
        </is>
      </c>
    </row>
    <row r="47">
      <c r="A47" s="7" t="inlineStr">
        <is>
          <t>attackCooldown</t>
        </is>
      </c>
      <c r="B47" s="7" t="n">
        <v>5</v>
      </c>
      <c r="C47" s="7" t="inlineStr">
        <is>
          <t>s</t>
        </is>
      </c>
      <c r="D47" s="7" t="inlineStr">
        <is>
          <t>Assets/Prefabs/Cthullu eye miniboss/CuthuluEye.prefab</t>
        </is>
      </c>
    </row>
    <row r="48">
      <c r="A48" s="7" t="inlineStr">
        <is>
          <t>escapePentagramChance</t>
        </is>
      </c>
      <c r="B48" s="7" t="n">
        <v>0.5</v>
      </c>
      <c r="C48" s="7" t="inlineStr">
        <is>
          <t>prob</t>
        </is>
      </c>
      <c r="D48" s="7" t="inlineStr">
        <is>
          <t>Assets/Prefabs/Cthullu eye miniboss/CuthuluEye.prefab</t>
        </is>
      </c>
    </row>
    <row r="49">
      <c r="A49" s="7" t="inlineStr">
        <is>
          <t>Escape pentagram: radius</t>
        </is>
      </c>
      <c r="B49" s="7" t="n">
        <v>0.7</v>
      </c>
      <c r="C49" s="7" t="inlineStr">
        <is>
          <t>u</t>
        </is>
      </c>
      <c r="D49" s="7" t="inlineStr">
        <is>
          <t>Assets/Prefabs/Cthullu eye miniboss/EscapePent.prefab</t>
        </is>
      </c>
    </row>
    <row r="50">
      <c r="A50" s="7" t="inlineStr">
        <is>
          <t>Escape pentagram: warningDuration</t>
        </is>
      </c>
      <c r="B50" s="7" t="n">
        <v>1.5</v>
      </c>
      <c r="C50" s="7" t="inlineStr">
        <is>
          <t>s</t>
        </is>
      </c>
      <c r="D50" s="7" t="inlineStr">
        <is>
          <t>player must leave the circle in this time</t>
        </is>
      </c>
    </row>
    <row r="51">
      <c r="A51" s="7" t="inlineStr">
        <is>
          <t>Escape pentagram: damage</t>
        </is>
      </c>
      <c r="B51" s="7" t="n">
        <v>20</v>
      </c>
      <c r="C51" s="7" t="inlineStr">
        <is>
          <t>field</t>
        </is>
      </c>
      <c r="D51" s="7" t="inlineStr">
        <is>
          <t>-&gt; PlayerHealth.TakeDamage: flat coinsLostPerHit, damage value ignored</t>
        </is>
      </c>
    </row>
    <row r="52">
      <c r="A52" s="7" t="inlineStr">
        <is>
          <t>Prison pentagram: radius</t>
        </is>
      </c>
      <c r="B52" s="7" t="n">
        <v>0.7</v>
      </c>
      <c r="C52" s="7" t="inlineStr">
        <is>
          <t>u</t>
        </is>
      </c>
      <c r="D52" s="7" t="inlineStr">
        <is>
          <t>Assets/Prefabs/Cthullu eye miniboss/PrisonPent.prefab</t>
        </is>
      </c>
    </row>
    <row r="53">
      <c r="A53" s="7" t="inlineStr">
        <is>
          <t>Prison pentagram: warningDuration</t>
        </is>
      </c>
      <c r="B53" s="7" t="n">
        <v>0.8</v>
      </c>
      <c r="C53" s="7" t="inlineStr">
        <is>
          <t>s</t>
        </is>
      </c>
      <c r="D53" s="7" t="inlineStr"/>
    </row>
    <row r="54">
      <c r="A54" s="7" t="inlineStr">
        <is>
          <t>Prison pentagram: trapDuration</t>
        </is>
      </c>
      <c r="B54" s="7" t="n">
        <v>3</v>
      </c>
      <c r="C54" s="7" t="inlineStr">
        <is>
          <t>s</t>
        </is>
      </c>
      <c r="D54" s="7" t="inlineStr">
        <is>
          <t>player is held in place this long</t>
        </is>
      </c>
    </row>
    <row r="55">
      <c r="A55" s="7" t="inlineStr">
        <is>
          <t>Pentagrams.prefab (unified variant): radius / escapeDamage / prisonTrapDuration</t>
        </is>
      </c>
      <c r="B55" s="7" t="inlineStr">
        <is>
          <t>2 / 20 / 3</t>
        </is>
      </c>
      <c r="C55" s="7" t="inlineStr"/>
      <c r="D55" s="7" t="inlineStr">
        <is>
          <t>Prefab exists but the Eye references the two separate prefabs above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24" customWidth="1" min="3" max="3"/>
    <col width="52" customWidth="1" min="4" max="4"/>
    <col width="6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Enemy spawners</t>
        </is>
      </c>
    </row>
    <row r="2">
      <c r="A2" s="2" t="inlineStr">
        <is>
          <t>Source: Assets/Prefabs/Enemies/Enemy Spawner.prefab + runtime code (DungeonMapGenerator.ConfigureSpawnerForRoom, EnemySpawner, RoguelikeManager).</t>
        </is>
      </c>
    </row>
    <row r="4">
      <c r="A4" s="6" t="inlineStr">
        <is>
          <t>Parameter</t>
        </is>
      </c>
      <c r="B4" s="6" t="inlineStr">
        <is>
          <t>Value</t>
        </is>
      </c>
      <c r="C4" s="6" t="inlineStr">
        <is>
          <t>Unit</t>
        </is>
      </c>
      <c r="D4" s="6" t="inlineStr">
        <is>
          <t>Source</t>
        </is>
      </c>
      <c r="E4" s="6" t="inlineStr">
        <is>
          <t>Notes</t>
        </is>
      </c>
    </row>
    <row r="5">
      <c r="A5" s="7" t="inlineStr">
        <is>
          <t>startingBudget</t>
        </is>
      </c>
      <c r="B5" s="7" t="n">
        <v>400</v>
      </c>
      <c r="C5" s="7" t="inlineStr">
        <is>
          <t>budget</t>
        </is>
      </c>
      <c r="D5" s="7" t="inlineStr">
        <is>
          <t>Assets/Prefabs/Enemies/Enemy Spawner.prefab</t>
        </is>
      </c>
      <c r="E5" s="8" t="inlineStr">
        <is>
          <t>Script default 300. Effective value is much higher after runtime modifiers (see below).</t>
        </is>
      </c>
    </row>
    <row r="6">
      <c r="A6" s="9" t="inlineStr">
        <is>
          <t>spawnInterval</t>
        </is>
      </c>
      <c r="B6" s="9" t="n">
        <v>0.7</v>
      </c>
      <c r="C6" s="9" t="inlineStr">
        <is>
          <t>s</t>
        </is>
      </c>
      <c r="D6" s="9" t="inlineStr">
        <is>
          <t>Assets/Prefabs/Enemies/Enemy Spawner.prefab</t>
        </is>
      </c>
      <c r="E6" s="10" t="inlineStr">
        <is>
          <t>Overwritten at runtime by DungeonMapGenerator (random 1-3 s) before scaling.</t>
        </is>
      </c>
    </row>
    <row r="7">
      <c r="A7" s="7" t="inlineStr">
        <is>
          <t>maxHealth (spawner is destructible)</t>
        </is>
      </c>
      <c r="B7" s="7" t="n">
        <v>300</v>
      </c>
      <c r="C7" s="7" t="inlineStr">
        <is>
          <t>HP</t>
        </is>
      </c>
      <c r="D7" s="7" t="inlineStr">
        <is>
          <t>Assets/Prefabs/Enemies/Enemy Spawner.prefab</t>
        </is>
      </c>
      <c r="E7" s="8" t="inlineStr">
        <is>
          <t>Killing it drops coins = round(remainingBudget * coinRewardMultiplier).</t>
        </is>
      </c>
    </row>
    <row r="8">
      <c r="A8" s="7" t="inlineStr">
        <is>
          <t>coinRewardMultiplier</t>
        </is>
      </c>
      <c r="B8" s="7" t="n">
        <v>0.01</v>
      </c>
      <c r="C8" s="7" t="inlineStr">
        <is>
          <t>coins/budget</t>
        </is>
      </c>
      <c r="D8" s="7" t="inlineStr">
        <is>
          <t>Assets/Prefabs/Enemies/Enemy Spawner.prefab</t>
        </is>
      </c>
      <c r="E8" s="8" t="inlineStr">
        <is>
          <t>Script default 0.5; prefab 0.01.</t>
        </is>
      </c>
    </row>
    <row r="9">
      <c r="A9" s="7" t="inlineStr">
        <is>
          <t>coinDropForce</t>
        </is>
      </c>
      <c r="B9" s="7" t="n">
        <v>2</v>
      </c>
      <c r="C9" s="7" t="inlineStr">
        <is>
          <t>impulse</t>
        </is>
      </c>
      <c r="D9" s="7" t="inlineStr">
        <is>
          <t>Assets/Prefabs/Enemies/Enemy Spawner.prefab</t>
        </is>
      </c>
      <c r="E9" s="8" t="inlineStr"/>
    </row>
    <row r="10">
      <c r="A10" s="7" t="inlineStr">
        <is>
          <t>cthulhuExclusionRadius</t>
        </is>
      </c>
      <c r="B10" s="7" t="n">
        <v>25</v>
      </c>
      <c r="C10" s="7" t="inlineStr">
        <is>
          <t>u</t>
        </is>
      </c>
      <c r="D10" s="7" t="inlineStr">
        <is>
          <t>Assets/Prefabs/Enemies/Enemy Spawner.prefab</t>
        </is>
      </c>
      <c r="E10" s="8" t="inlineStr">
        <is>
          <t>Only one Eye per 25 u across all spawners (global list).</t>
        </is>
      </c>
    </row>
    <row r="11">
      <c r="A11" s="7" t="inlineStr">
        <is>
          <t>spawnRadius</t>
        </is>
      </c>
      <c r="B11" s="7" t="n">
        <v>5</v>
      </c>
      <c r="C11" s="7" t="inlineStr">
        <is>
          <t>u</t>
        </is>
      </c>
      <c r="D11" s="7" t="inlineStr">
        <is>
          <t>Assets/Prefabs/Enemies/Enemy Spawner.prefab</t>
        </is>
      </c>
      <c r="E11" s="8" t="inlineStr">
        <is>
          <t>Overwritten per room: clamp(max(roomW,roomH)/10*3, 2, 8).</t>
        </is>
      </c>
    </row>
    <row r="12">
      <c r="A12" s="7" t="inlineStr">
        <is>
          <t>zoneOffset</t>
        </is>
      </c>
      <c r="B12" s="7" t="n">
        <v>1</v>
      </c>
      <c r="C12" s="7" t="inlineStr">
        <is>
          <t>u</t>
        </is>
      </c>
      <c r="D12" s="7" t="inlineStr">
        <is>
          <t>Assets/Prefabs/Enemies/Enemy Spawner.prefab</t>
        </is>
      </c>
      <c r="E12" s="8" t="inlineStr">
        <is>
          <t>Enemies spawn at 4 offsets (up/down/left/right) that are not inside walls.</t>
        </is>
      </c>
    </row>
    <row r="13">
      <c r="A13" s="7" t="inlineStr">
        <is>
          <t>requiresActivation</t>
        </is>
      </c>
      <c r="B13" s="7" t="n">
        <v>1</v>
      </c>
      <c r="C13" s="7" t="inlineStr">
        <is>
          <t>bool</t>
        </is>
      </c>
      <c r="D13" s="7" t="inlineStr">
        <is>
          <t>Assets/Prefabs/Enemies/Enemy Spawner.prefab</t>
        </is>
      </c>
      <c r="E13" s="8" t="inlineStr">
        <is>
          <t>Starts when the player is within ActivateEnemySpawner.activationRange (7 u).</t>
        </is>
      </c>
    </row>
    <row r="14">
      <c r="A14" s="9" t="inlineStr">
        <is>
          <t>maxEnemies</t>
        </is>
      </c>
      <c r="B14" s="9" t="n">
        <v>0</v>
      </c>
      <c r="C14" s="9" t="inlineStr">
        <is>
          <t>count</t>
        </is>
      </c>
      <c r="D14" s="9" t="inlineStr">
        <is>
          <t>Assets/Prefabs/Enemies/Enemy Spawner.prefab</t>
        </is>
      </c>
      <c r="E14" s="10" t="inlineStr">
        <is>
          <t>LEGACY. Set per room by the generator (8 + room bonus) but never read by EnemySpawner.</t>
        </is>
      </c>
    </row>
    <row r="16">
      <c r="A16" s="12" t="inlineStr">
        <is>
          <t>Roster (enemy pool)</t>
        </is>
      </c>
      <c r="B16" s="13" t="n"/>
      <c r="C16" s="13" t="n"/>
      <c r="D16" s="13" t="n"/>
      <c r="E16" s="13" t="n"/>
    </row>
    <row r="17">
      <c r="A17" s="6" t="inlineStr">
        <is>
          <t>Slot</t>
        </is>
      </c>
      <c r="B17" s="6" t="inlineStr">
        <is>
          <t>Enemy prefab</t>
        </is>
      </c>
      <c r="C17" s="6" t="inlineStr">
        <is>
          <t>budgetCost</t>
        </is>
      </c>
      <c r="D17" s="6" t="inlineStr">
        <is>
          <t>spawnWeight</t>
        </is>
      </c>
      <c r="E17" s="6" t="inlineStr">
        <is>
          <t>maxAllowed (0 = infinite)</t>
        </is>
      </c>
      <c r="F17" s="6" t="inlineStr">
        <is>
          <t>spawnGroupSize</t>
        </is>
      </c>
      <c r="G17" s="6" t="inlineStr">
        <is>
          <t>Notes</t>
        </is>
      </c>
    </row>
    <row r="18">
      <c r="A18" s="7" t="inlineStr">
        <is>
          <t>fodderLevel1</t>
        </is>
      </c>
      <c r="B18" s="7" t="inlineStr">
        <is>
          <t>-&gt;Enemy 1</t>
        </is>
      </c>
      <c r="C18" s="7" t="n">
        <v>10</v>
      </c>
      <c r="D18" s="7" t="n">
        <v>2</v>
      </c>
      <c r="E18" s="7" t="n">
        <v>12</v>
      </c>
      <c r="F18" s="7" t="n">
        <v>8</v>
      </c>
      <c r="G18" s="7" t="inlineStr">
        <is>
          <t>Only melee type actually spawned.</t>
        </is>
      </c>
    </row>
    <row r="19">
      <c r="A19" s="9" t="inlineStr">
        <is>
          <t>fodderLevel2</t>
        </is>
      </c>
      <c r="B19" s="9" t="inlineStr">
        <is>
          <t>(none)</t>
        </is>
      </c>
      <c r="C19" s="9" t="n">
        <v>0</v>
      </c>
      <c r="D19" s="9" t="n">
        <v>0</v>
      </c>
      <c r="E19" s="9" t="n">
        <v>0</v>
      </c>
      <c r="F19" s="9" t="n">
        <v>1</v>
      </c>
      <c r="G19" s="9" t="inlineStr">
        <is>
          <t>Empty slot (Enemy 2 prefab exists but is not wired in).</t>
        </is>
      </c>
    </row>
    <row r="20">
      <c r="A20" s="9" t="inlineStr">
        <is>
          <t>fodderLevel3</t>
        </is>
      </c>
      <c r="B20" s="9" t="inlineStr">
        <is>
          <t>(none)</t>
        </is>
      </c>
      <c r="C20" s="9" t="n">
        <v>0</v>
      </c>
      <c r="D20" s="9" t="n">
        <v>0</v>
      </c>
      <c r="E20" s="9" t="n">
        <v>0</v>
      </c>
      <c r="F20" s="9" t="n">
        <v>1</v>
      </c>
      <c r="G20" s="9" t="inlineStr">
        <is>
          <t>Empty slot (Enemy 3 prefab exists but is not wired in).</t>
        </is>
      </c>
    </row>
    <row r="21">
      <c r="A21" s="7" t="inlineStr">
        <is>
          <t>rangedEnemy</t>
        </is>
      </c>
      <c r="B21" s="7" t="inlineStr">
        <is>
          <t>-&gt;RangedEnemy</t>
        </is>
      </c>
      <c r="C21" s="7" t="n">
        <v>50</v>
      </c>
      <c r="D21" s="7" t="n">
        <v>1</v>
      </c>
      <c r="E21" s="7" t="n">
        <v>2</v>
      </c>
      <c r="F21" s="7" t="n">
        <v>1</v>
      </c>
      <c r="G21" s="7" t="inlineStr"/>
    </row>
    <row r="22">
      <c r="A22" s="7" t="inlineStr">
        <is>
          <t>cthulhuEye</t>
        </is>
      </c>
      <c r="B22" s="7" t="inlineStr">
        <is>
          <t>-&gt;CuthuluEye</t>
        </is>
      </c>
      <c r="C22" s="7" t="n">
        <v>100</v>
      </c>
      <c r="D22" s="7" t="n">
        <v>1</v>
      </c>
      <c r="E22" s="7" t="n">
        <v>1</v>
      </c>
      <c r="F22" s="7" t="n">
        <v>1</v>
      </c>
      <c r="G22" s="7" t="inlineStr">
        <is>
          <t>Also limited by the 25 u exclusion radius.</t>
        </is>
      </c>
    </row>
    <row r="24">
      <c r="A24" s="12" t="inlineStr">
        <is>
          <t>Runtime modifiers (read from code - verify in play)</t>
        </is>
      </c>
      <c r="B24" s="13" t="n"/>
      <c r="C24" s="13" t="n"/>
      <c r="D24" s="13" t="n"/>
      <c r="E24" s="13" t="n"/>
    </row>
    <row r="25">
      <c r="A25" s="7" t="inlineStr">
        <is>
          <t>Spawners per room</t>
        </is>
      </c>
      <c r="B25" s="8" t="inlineStr">
        <is>
          <t>random 1-3 (Random.Range(1,4)), capped by valid edge positions</t>
        </is>
      </c>
      <c r="C25" s="7" t="inlineStr"/>
      <c r="D25" s="7" t="inlineStr">
        <is>
          <t>DungeonMapGenerator.SpawnEnemySpawnerInRoom</t>
        </is>
      </c>
      <c r="E25" s="8" t="inlineStr">
        <is>
          <t>Every room except start and end room.</t>
        </is>
      </c>
    </row>
    <row r="26">
      <c r="A26" s="7" t="inlineStr">
        <is>
          <t>Min distance between spawners</t>
        </is>
      </c>
      <c r="B26" s="8" t="n">
        <v>5</v>
      </c>
      <c r="C26" s="7" t="inlineStr"/>
      <c r="D26" s="7" t="inlineStr">
        <is>
          <t>DungeonMapGenerator.minDistanceBetweenSpawners (scene)</t>
        </is>
      </c>
      <c r="E26" s="8" t="inlineStr"/>
    </row>
    <row r="27">
      <c r="A27" s="7" t="inlineStr">
        <is>
          <t>Spawner respawn</t>
        </is>
      </c>
      <c r="B27" s="8" t="inlineStr">
        <is>
          <t>off (enableSpawnerRespawn=0)</t>
        </is>
      </c>
      <c r="C27" s="7" t="inlineStr"/>
      <c r="D27" s="7" t="inlineStr">
        <is>
          <t>scene</t>
        </is>
      </c>
      <c r="E27" s="8" t="inlineStr"/>
    </row>
    <row r="28">
      <c r="A28" s="9" t="inlineStr">
        <is>
          <t>spawnInterval override</t>
        </is>
      </c>
      <c r="B28" s="10" t="inlineStr">
        <is>
          <t>Random.Range(1, 3) s per spawner</t>
        </is>
      </c>
      <c r="C28" s="9" t="inlineStr"/>
      <c r="D28" s="9" t="inlineStr">
        <is>
          <t>ConfigureSpawnerForRoom</t>
        </is>
      </c>
      <c r="E28" s="10" t="inlineStr">
        <is>
          <t>Replaces prefab's 0.7 s.</t>
        </is>
      </c>
    </row>
    <row r="29">
      <c r="A29" s="9" t="inlineStr">
        <is>
          <t>Level passed by the generator</t>
        </is>
      </c>
      <c r="B29" s="10" t="inlineStr">
        <is>
          <t>mapParametersSO.nodeCount (= 7 for Mapparametersso.asset), NOT the run level</t>
        </is>
      </c>
      <c r="C29" s="9" t="inlineStr"/>
      <c r="D29" s="9" t="inlineStr">
        <is>
          <t>ConfigureSpawnerForRoom -&gt; SetDungeonLevel</t>
        </is>
      </c>
      <c r="E29" s="10" t="inlineStr">
        <is>
          <t>So every spawner gets UpdateDifficultyForLevel(7): budget +350, interval -1.05 s (min 0.5).</t>
        </is>
      </c>
    </row>
    <row r="30">
      <c r="A30" s="7" t="inlineStr">
        <is>
          <t>Second scaling pass</t>
        </is>
      </c>
      <c r="B30" s="8" t="inlineStr">
        <is>
          <t>RoguelikeManager.UpdateSpawnerDifficulty(currentLevel)</t>
        </is>
      </c>
      <c r="C30" s="7" t="inlineStr"/>
      <c r="D30" s="7" t="inlineStr">
        <is>
          <t>RoguelikeManager</t>
        </is>
      </c>
      <c r="E30" s="8" t="inlineStr">
        <is>
          <t>For level &gt; 1: budget += 50*level, interval = max(0.5, interval - 0.15*level). Level 1 skips.</t>
        </is>
      </c>
    </row>
    <row r="31">
      <c r="A31" s="7" t="inlineStr">
        <is>
          <t>Budget is captured at Start()</t>
        </is>
      </c>
      <c r="B31" s="8" t="inlineStr">
        <is>
          <t>currentBudget = startingBudget at first frame, after both passes</t>
        </is>
      </c>
      <c r="C31" s="7" t="inlineStr"/>
      <c r="D31" s="7" t="inlineStr">
        <is>
          <t>EnemySpawner.Start</t>
        </is>
      </c>
      <c r="E31" s="8" t="inlineStr">
        <is>
          <t>Generation is synchronous, so both passes happen before Start().</t>
        </is>
      </c>
    </row>
    <row r="32">
      <c r="A32" s="7" t="inlineStr">
        <is>
          <t>Group spawn</t>
        </is>
      </c>
      <c r="B32" s="8" t="inlineStr">
        <is>
          <t>picks weighted enemy; spawns min(groupSize, affordable, maxAllowed-currentSpawned) at once</t>
        </is>
      </c>
      <c r="C32" s="7" t="inlineStr"/>
      <c r="D32" s="7" t="inlineStr">
        <is>
          <t>EnemySpawner.AttemptSpawn</t>
        </is>
      </c>
      <c r="E32" s="8" t="inlineStr"/>
    </row>
    <row r="33">
      <c r="A33" s="9" t="inlineStr">
        <is>
          <t>currentSpawned never decrements</t>
        </is>
      </c>
      <c r="B33" s="10" t="inlineStr">
        <is>
          <t>maxAllowed is a LIFETIME cap per spawner, not a live cap</t>
        </is>
      </c>
      <c r="C33" s="9" t="inlineStr"/>
      <c r="D33" s="9" t="inlineStr">
        <is>
          <t>EnemySpawner (no decrement found)</t>
        </is>
      </c>
      <c r="E33" s="10" t="inlineStr">
        <is>
          <t>Fodder 12 + Ranged 2 + Eye 1 = at most 15 enemies per spawner over its whole life.</t>
        </is>
      </c>
    </row>
    <row r="35">
      <c r="A35" s="12" t="inlineStr">
        <is>
          <t>Projection by run level (formulas; assumes the two scaling passes above)</t>
        </is>
      </c>
      <c r="B35" s="13" t="n"/>
      <c r="C35" s="13" t="n"/>
      <c r="D35" s="13" t="n"/>
      <c r="E35" s="13" t="n"/>
      <c r="F35" s="13" t="n"/>
      <c r="G35" s="13" t="n"/>
      <c r="H35" s="13" t="n"/>
    </row>
    <row r="36">
      <c r="A36" s="6" t="inlineStr">
        <is>
          <t>Run level (currentLevel)</t>
        </is>
      </c>
      <c r="B36" s="6" t="inlineStr">
        <is>
          <t>Effective budget</t>
        </is>
      </c>
      <c r="C36" s="6" t="inlineStr">
        <is>
          <t>Interval, roll = 1 s</t>
        </is>
      </c>
      <c r="D36" s="6" t="inlineStr">
        <is>
          <t>Interval, roll = 2 s</t>
        </is>
      </c>
      <c r="E36" s="6" t="inlineStr">
        <is>
          <t>Interval, roll = 3 s</t>
        </is>
      </c>
      <c r="F36" s="6" t="inlineStr">
        <is>
          <t>Max enemies actually spawnable (lifetime cap)</t>
        </is>
      </c>
      <c r="G36" s="6" t="inlineStr">
        <is>
          <t>Budget spent at cap</t>
        </is>
      </c>
      <c r="H36" s="6" t="inlineStr">
        <is>
          <t>Budget left at cap (spawner stays alive)</t>
        </is>
      </c>
    </row>
    <row r="37">
      <c r="A37" s="7" t="n">
        <v>1</v>
      </c>
      <c r="B37" s="7">
        <f>$B$5+350+IF(A37&gt;1,50*A37,0)</f>
        <v/>
      </c>
      <c r="C37" s="16">
        <f>MAX(0.5,MAX(0.5,1-1.05)-IF(A37&gt;1,0.15*A37,0))</f>
        <v/>
      </c>
      <c r="D37" s="16">
        <f>MAX(0.5,MAX(0.5,2-1.05)-IF(A37&gt;1,0.15*A37,0))</f>
        <v/>
      </c>
      <c r="E37" s="16">
        <f>MAX(0.5,MAX(0.5,3-1.05)-IF(A37&gt;1,0.15*A37,0))</f>
        <v/>
      </c>
      <c r="F37" s="7">
        <f>MIN(E18,9999)+E21+E22</f>
        <v/>
      </c>
      <c r="G37" s="7">
        <f>E18*C18+E21*C21+E22*C22</f>
        <v/>
      </c>
      <c r="H37" s="7">
        <f>B37-G37</f>
        <v/>
      </c>
    </row>
    <row r="38">
      <c r="A38" s="7" t="n">
        <v>2</v>
      </c>
      <c r="B38" s="7">
        <f>$B$5+350+IF(A38&gt;1,50*A38,0)</f>
        <v/>
      </c>
      <c r="C38" s="16">
        <f>MAX(0.5,MAX(0.5,1-1.05)-IF(A38&gt;1,0.15*A38,0))</f>
        <v/>
      </c>
      <c r="D38" s="16">
        <f>MAX(0.5,MAX(0.5,2-1.05)-IF(A38&gt;1,0.15*A38,0))</f>
        <v/>
      </c>
      <c r="E38" s="16">
        <f>MAX(0.5,MAX(0.5,3-1.05)-IF(A38&gt;1,0.15*A38,0))</f>
        <v/>
      </c>
      <c r="F38" s="7">
        <f>MIN(E18,9999)+E21+E22</f>
        <v/>
      </c>
      <c r="G38" s="7">
        <f>E18*C18+E21*C21+E22*C22</f>
        <v/>
      </c>
      <c r="H38" s="7">
        <f>B38-G38</f>
        <v/>
      </c>
    </row>
    <row r="39">
      <c r="A39" s="7" t="n">
        <v>3</v>
      </c>
      <c r="B39" s="7">
        <f>$B$5+350+IF(A39&gt;1,50*A39,0)</f>
        <v/>
      </c>
      <c r="C39" s="16">
        <f>MAX(0.5,MAX(0.5,1-1.05)-IF(A39&gt;1,0.15*A39,0))</f>
        <v/>
      </c>
      <c r="D39" s="16">
        <f>MAX(0.5,MAX(0.5,2-1.05)-IF(A39&gt;1,0.15*A39,0))</f>
        <v/>
      </c>
      <c r="E39" s="16">
        <f>MAX(0.5,MAX(0.5,3-1.05)-IF(A39&gt;1,0.15*A39,0))</f>
        <v/>
      </c>
      <c r="F39" s="7">
        <f>MIN(E18,9999)+E21+E22</f>
        <v/>
      </c>
      <c r="G39" s="7">
        <f>E18*C18+E21*C21+E22*C22</f>
        <v/>
      </c>
      <c r="H39" s="7">
        <f>B39-G39</f>
        <v/>
      </c>
    </row>
    <row r="40">
      <c r="A40" s="7" t="n">
        <v>4</v>
      </c>
      <c r="B40" s="7">
        <f>$B$5+350+IF(A40&gt;1,50*A40,0)</f>
        <v/>
      </c>
      <c r="C40" s="16">
        <f>MAX(0.5,MAX(0.5,1-1.05)-IF(A40&gt;1,0.15*A40,0))</f>
        <v/>
      </c>
      <c r="D40" s="16">
        <f>MAX(0.5,MAX(0.5,2-1.05)-IF(A40&gt;1,0.15*A40,0))</f>
        <v/>
      </c>
      <c r="E40" s="16">
        <f>MAX(0.5,MAX(0.5,3-1.05)-IF(A40&gt;1,0.15*A40,0))</f>
        <v/>
      </c>
      <c r="F40" s="7">
        <f>MIN(E18,9999)+E21+E22</f>
        <v/>
      </c>
      <c r="G40" s="7">
        <f>E18*C18+E21*C21+E22*C22</f>
        <v/>
      </c>
      <c r="H40" s="7">
        <f>B40-G40</f>
        <v/>
      </c>
    </row>
    <row r="41">
      <c r="A41" s="7" t="n">
        <v>5</v>
      </c>
      <c r="B41" s="7">
        <f>$B$5+350+IF(A41&gt;1,50*A41,0)</f>
        <v/>
      </c>
      <c r="C41" s="16">
        <f>MAX(0.5,MAX(0.5,1-1.05)-IF(A41&gt;1,0.15*A41,0))</f>
        <v/>
      </c>
      <c r="D41" s="16">
        <f>MAX(0.5,MAX(0.5,2-1.05)-IF(A41&gt;1,0.15*A41,0))</f>
        <v/>
      </c>
      <c r="E41" s="16">
        <f>MAX(0.5,MAX(0.5,3-1.05)-IF(A41&gt;1,0.15*A41,0))</f>
        <v/>
      </c>
      <c r="F41" s="7">
        <f>MIN(E18,9999)+E21+E22</f>
        <v/>
      </c>
      <c r="G41" s="7">
        <f>E18*C18+E21*C21+E22*C22</f>
        <v/>
      </c>
      <c r="H41" s="7">
        <f>B41-G41</f>
        <v/>
      </c>
    </row>
    <row r="42">
      <c r="A42" s="7" t="n">
        <v>6</v>
      </c>
      <c r="B42" s="7">
        <f>$B$5+350+IF(A42&gt;1,50*A42,0)</f>
        <v/>
      </c>
      <c r="C42" s="16">
        <f>MAX(0.5,MAX(0.5,1-1.05)-IF(A42&gt;1,0.15*A42,0))</f>
        <v/>
      </c>
      <c r="D42" s="16">
        <f>MAX(0.5,MAX(0.5,2-1.05)-IF(A42&gt;1,0.15*A42,0))</f>
        <v/>
      </c>
      <c r="E42" s="16">
        <f>MAX(0.5,MAX(0.5,3-1.05)-IF(A42&gt;1,0.15*A42,0))</f>
        <v/>
      </c>
      <c r="F42" s="7">
        <f>MIN(E18,9999)+E21+E22</f>
        <v/>
      </c>
      <c r="G42" s="7">
        <f>E18*C18+E21*C21+E22*C22</f>
        <v/>
      </c>
      <c r="H42" s="7">
        <f>B42-G42</f>
        <v/>
      </c>
    </row>
    <row r="43">
      <c r="A43" s="7" t="n">
        <v>7</v>
      </c>
      <c r="B43" s="7">
        <f>$B$5+350+IF(A43&gt;1,50*A43,0)</f>
        <v/>
      </c>
      <c r="C43" s="16">
        <f>MAX(0.5,MAX(0.5,1-1.05)-IF(A43&gt;1,0.15*A43,0))</f>
        <v/>
      </c>
      <c r="D43" s="16">
        <f>MAX(0.5,MAX(0.5,2-1.05)-IF(A43&gt;1,0.15*A43,0))</f>
        <v/>
      </c>
      <c r="E43" s="16">
        <f>MAX(0.5,MAX(0.5,3-1.05)-IF(A43&gt;1,0.15*A43,0))</f>
        <v/>
      </c>
      <c r="F43" s="7">
        <f>MIN(E18,9999)+E21+E22</f>
        <v/>
      </c>
      <c r="G43" s="7">
        <f>E18*C18+E21*C21+E22*C22</f>
        <v/>
      </c>
      <c r="H43" s="7">
        <f>B43-G43</f>
        <v/>
      </c>
    </row>
    <row r="44">
      <c r="A44" s="25" t="inlineStr">
        <is>
          <t>Because the lifetime caps (15 enemies) cost less than the budget, the budget never runs out and 'budget &lt;= 0 -&gt; spawner dies' is never reached in practice.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6" customWidth="1" min="1" max="1"/>
    <col width="40" customWidth="1" min="2" max="2"/>
    <col width="16" customWidth="1" min="3" max="3"/>
    <col width="80" customWidth="1" min="4" max="4"/>
  </cols>
  <sheetData>
    <row r="1">
      <c r="A1" s="1" t="inlineStr">
        <is>
          <t>Boss - MiniBoss1 (BossDefinition_01)</t>
        </is>
      </c>
    </row>
    <row r="2">
      <c r="A2" s="2" t="inlineStr">
        <is>
          <t>Source: Assets/Prefabs/Enemies/Boss_Prefab/MiniBoss1.prefab. BossArena scene spawns it via BossSceneManager.</t>
        </is>
      </c>
    </row>
    <row r="4">
      <c r="A4" s="6" t="inlineStr">
        <is>
          <t>Parameter</t>
        </is>
      </c>
      <c r="B4" s="6" t="inlineStr">
        <is>
          <t>Value</t>
        </is>
      </c>
      <c r="C4" s="6" t="inlineStr">
        <is>
          <t>Unit</t>
        </is>
      </c>
      <c r="D4" s="6" t="inlineStr">
        <is>
          <t>Notes</t>
        </is>
      </c>
    </row>
    <row r="5">
      <c r="A5" s="7" t="inlineStr">
        <is>
          <t>maxHealth</t>
        </is>
      </c>
      <c r="B5" s="7" t="n">
        <v>4000</v>
      </c>
      <c r="C5" s="7" t="inlineStr">
        <is>
          <t>HP</t>
        </is>
      </c>
      <c r="D5" s="8" t="inlineStr">
        <is>
          <t>Only damageable while the shield is down.</t>
        </is>
      </c>
    </row>
    <row r="6">
      <c r="A6" s="9" t="inlineStr">
        <is>
          <t>shieldHealth</t>
        </is>
      </c>
      <c r="B6" s="9" t="n">
        <v>1000</v>
      </c>
      <c r="C6" s="9" t="inlineStr">
        <is>
          <t>HP</t>
        </is>
      </c>
      <c r="D6" s="10" t="inlineStr">
        <is>
          <t>Shield absorbs all damage first. Regenerates to full when the boss LEAVES a wall.</t>
        </is>
      </c>
    </row>
    <row r="7">
      <c r="A7" s="7" t="inlineStr">
        <is>
          <t>Moves as pinball</t>
        </is>
      </c>
      <c r="B7" s="7" t="inlineStr">
        <is>
          <t>moveSpeed 6 -&gt; +1 per wall bounce -&gt; max 20</t>
        </is>
      </c>
      <c r="C7" s="7" t="inlineStr">
        <is>
          <t>u/s</t>
        </is>
      </c>
      <c r="D7" s="8" t="inlineStr">
        <is>
          <t>While shielded it bounces off walls; once the shield breaks it sticks to the next wall it touches.</t>
        </is>
      </c>
    </row>
    <row r="8">
      <c r="A8" s="7" t="inlineStr">
        <is>
          <t>moveSpeed</t>
        </is>
      </c>
      <c r="B8" s="7" t="n">
        <v>6</v>
      </c>
      <c r="C8" s="7" t="inlineStr">
        <is>
          <t>u/s</t>
        </is>
      </c>
      <c r="D8" s="8" t="inlineStr"/>
    </row>
    <row r="9">
      <c r="A9" s="7" t="inlineStr">
        <is>
          <t>maxSpeed</t>
        </is>
      </c>
      <c r="B9" s="7" t="n">
        <v>20</v>
      </c>
      <c r="C9" s="7" t="inlineStr">
        <is>
          <t>u/s</t>
        </is>
      </c>
      <c r="D9" s="8" t="inlineStr"/>
    </row>
    <row r="10">
      <c r="A10" s="7" t="inlineStr">
        <is>
          <t>speedIncreasePerBounce</t>
        </is>
      </c>
      <c r="B10" s="7" t="n">
        <v>1</v>
      </c>
      <c r="C10" s="7" t="inlineStr">
        <is>
          <t>u/s per bounce</t>
        </is>
      </c>
      <c r="D10" s="8" t="inlineStr"/>
    </row>
    <row r="11">
      <c r="A11" s="7" t="inlineStr">
        <is>
          <t>directionChangeInterval</t>
        </is>
      </c>
      <c r="B11" s="7" t="n">
        <v>20</v>
      </c>
      <c r="C11" s="7" t="inlineStr">
        <is>
          <t>s</t>
        </is>
      </c>
      <c r="D11" s="8" t="inlineStr">
        <is>
          <t>Field is not referenced in BossEnemy code (movement is bounce-driven).</t>
        </is>
      </c>
    </row>
    <row r="12">
      <c r="A12" s="7" t="inlineStr">
        <is>
          <t>wallStickDuration</t>
        </is>
      </c>
      <c r="B12" s="7" t="n">
        <v>5</v>
      </c>
      <c r="C12" s="7" t="inlineStr">
        <is>
          <t>s</t>
        </is>
      </c>
      <c r="D12" s="8" t="inlineStr">
        <is>
          <t>Loop adds waves until this many seconds have elapsed.</t>
        </is>
      </c>
    </row>
    <row r="13">
      <c r="A13" s="7" t="inlineStr">
        <is>
          <t>stickDistance</t>
        </is>
      </c>
      <c r="B13" s="7" t="n">
        <v>0.5</v>
      </c>
      <c r="C13" s="7" t="inlineStr">
        <is>
          <t>u</t>
        </is>
      </c>
      <c r="D13" s="8" t="inlineStr"/>
    </row>
    <row r="14">
      <c r="A14" s="7" t="inlineStr">
        <is>
          <t>timeBetweenWaves</t>
        </is>
      </c>
      <c r="B14" s="7" t="n">
        <v>0.3</v>
      </c>
      <c r="C14" s="7" t="inlineStr">
        <is>
          <t>s</t>
        </is>
      </c>
      <c r="D14" s="8" t="inlineStr">
        <is>
          <t>Delay between the two staggered rings of a cycle.</t>
        </is>
      </c>
    </row>
    <row r="15">
      <c r="A15" s="7" t="inlineStr">
        <is>
          <t>timeBetweenAttacks</t>
        </is>
      </c>
      <c r="B15" s="7" t="n">
        <v>1</v>
      </c>
      <c r="C15" s="7" t="inlineStr">
        <is>
          <t>s</t>
        </is>
      </c>
      <c r="D15" s="8" t="inlineStr">
        <is>
          <t>Delay after the second ring.</t>
        </is>
      </c>
    </row>
    <row r="16">
      <c r="A16" s="7" t="inlineStr">
        <is>
          <t>angleBetweenBullets</t>
        </is>
      </c>
      <c r="B16" s="7" t="n">
        <v>20</v>
      </c>
      <c r="C16" s="7" t="inlineStr">
        <is>
          <t>deg</t>
        </is>
      </c>
      <c r="D16" s="8" t="inlineStr">
        <is>
          <t>Ring size = ceil(360 / angle).</t>
        </is>
      </c>
    </row>
    <row r="17">
      <c r="A17" s="9" t="inlineStr">
        <is>
          <t>bulletsPerWave (field)</t>
        </is>
      </c>
      <c r="B17" s="9" t="n">
        <v>12</v>
      </c>
      <c r="C17" s="9" t="inlineStr">
        <is>
          <t>count</t>
        </is>
      </c>
      <c r="D17" s="10" t="inlineStr">
        <is>
          <t>NOT USED by the code (ring size comes from angleBetweenBullets).</t>
        </is>
      </c>
    </row>
    <row r="18">
      <c r="A18" s="7" t="inlineStr">
        <is>
          <t>bulletSpeed</t>
        </is>
      </c>
      <c r="B18" s="7" t="n">
        <v>8</v>
      </c>
      <c r="C18" s="7" t="inlineStr">
        <is>
          <t>u/s</t>
        </is>
      </c>
      <c r="D18" s="8" t="inlineStr"/>
    </row>
    <row r="19">
      <c r="A19" s="7" t="inlineStr">
        <is>
          <t>bulletLifetime</t>
        </is>
      </c>
      <c r="B19" s="7" t="n">
        <v>5</v>
      </c>
      <c r="C19" s="7" t="inlineStr">
        <is>
          <t>s</t>
        </is>
      </c>
      <c r="D19" s="8" t="inlineStr"/>
    </row>
    <row r="20">
      <c r="A20" s="7" t="inlineStr">
        <is>
          <t>bulletDamage</t>
        </is>
      </c>
      <c r="B20" s="7" t="n">
        <v>5</v>
      </c>
      <c r="C20" s="7" t="inlineStr">
        <is>
          <t>field</t>
        </is>
      </c>
      <c r="D20" s="8" t="inlineStr">
        <is>
          <t>Ignored by PlayerHealth (flat coin cost).</t>
        </is>
      </c>
    </row>
    <row r="21">
      <c r="A21" s="7" t="inlineStr">
        <is>
          <t>attackDamage (contact)</t>
        </is>
      </c>
      <c r="B21" s="7" t="n">
        <v>10</v>
      </c>
      <c r="C21" s="7" t="inlineStr">
        <is>
          <t>field</t>
        </is>
      </c>
      <c r="D21" s="8" t="inlineStr">
        <is>
          <t>Ignored by PlayerHealth (flat coin cost).</t>
        </is>
      </c>
    </row>
    <row r="22">
      <c r="A22" s="7" t="inlineStr">
        <is>
          <t>attackCooldown (contact)</t>
        </is>
      </c>
      <c r="B22" s="7" t="n">
        <v>1.5</v>
      </c>
      <c r="C22" s="7" t="inlineStr">
        <is>
          <t>s</t>
        </is>
      </c>
      <c r="D22" s="8" t="inlineStr"/>
    </row>
    <row r="23">
      <c r="A23" s="7" t="inlineStr">
        <is>
          <t>coins on death</t>
        </is>
      </c>
      <c r="B23" s="7" t="inlineStr">
        <is>
          <t>200 - 250</t>
        </is>
      </c>
      <c r="C23" s="7" t="inlineStr">
        <is>
          <t>coins</t>
        </is>
      </c>
      <c r="D23" s="8" t="inlineStr">
        <is>
          <t>Player purse is capped at startingMaxCoins (200).</t>
        </is>
      </c>
    </row>
    <row r="24">
      <c r="A24" s="7" t="inlineStr">
        <is>
          <t>wallCheckDistance</t>
        </is>
      </c>
      <c r="B24" s="7" t="n">
        <v>1</v>
      </c>
      <c r="C24" s="7" t="inlineStr">
        <is>
          <t>u</t>
        </is>
      </c>
      <c r="D24" s="8" t="inlineStr">
        <is>
          <t>Ray length used to skip ring bullets that would spawn into a wall.</t>
        </is>
      </c>
    </row>
    <row r="26">
      <c r="A26" s="12" t="inlineStr">
        <is>
          <t>Derived</t>
        </is>
      </c>
      <c r="B26" s="13" t="n"/>
      <c r="C26" s="13" t="n"/>
      <c r="D26" s="13" t="n"/>
    </row>
    <row r="27">
      <c r="A27" s="7" t="inlineStr">
        <is>
          <t>Bullets per ring (derived)</t>
        </is>
      </c>
      <c r="B27" s="7">
        <f>ROUNDUP(360/B16,0)</f>
        <v/>
      </c>
      <c r="C27" s="7" t="inlineStr">
        <is>
          <t>bullets</t>
        </is>
      </c>
      <c r="D27" s="8" t="inlineStr">
        <is>
          <t>Wall-blocked directions are skipped, so fewer near walls.</t>
        </is>
      </c>
    </row>
    <row r="28">
      <c r="A28" s="7" t="inlineStr">
        <is>
          <t>Loop time per cycle (derived)</t>
        </is>
      </c>
      <c r="B28" s="7">
        <f>B14+B15</f>
        <v/>
      </c>
      <c r="C28" s="7" t="inlineStr">
        <is>
          <t>s</t>
        </is>
      </c>
      <c r="D28" s="8" t="inlineStr"/>
    </row>
    <row r="29">
      <c r="A29" s="7" t="inlineStr">
        <is>
          <t>Cycles per wall stick (derived)</t>
        </is>
      </c>
      <c r="B29" s="7">
        <f>ROUNDUP(B12/(B14+B15),0)</f>
        <v/>
      </c>
      <c r="C29" s="7" t="inlineStr">
        <is>
          <t>cycles</t>
        </is>
      </c>
      <c r="D29" s="8" t="inlineStr">
        <is>
          <t>While-loop runs until elapsed &gt;= wallStickDuration.</t>
        </is>
      </c>
    </row>
    <row r="30">
      <c r="A30" s="7" t="inlineStr">
        <is>
          <t>Rings per wall stick (derived)</t>
        </is>
      </c>
      <c r="B30" s="7">
        <f>2*B29</f>
        <v/>
      </c>
      <c r="C30" s="7" t="inlineStr">
        <is>
          <t>rings</t>
        </is>
      </c>
      <c r="D30" s="8" t="inlineStr"/>
    </row>
    <row r="31">
      <c r="A31" s="7" t="inlineStr">
        <is>
          <t>Bullets per wall stick (derived)</t>
        </is>
      </c>
      <c r="B31" s="7">
        <f>B30*B27</f>
        <v/>
      </c>
      <c r="C31" s="7" t="inlineStr">
        <is>
          <t>bullets</t>
        </is>
      </c>
      <c r="D31" s="8" t="inlineStr">
        <is>
          <t>Upper bound (walls block some).</t>
        </is>
      </c>
    </row>
    <row r="32">
      <c r="A32" s="7" t="inlineStr">
        <is>
          <t>Damage the boss shield must absorb per cycle</t>
        </is>
      </c>
      <c r="B32" s="7">
        <f>B6</f>
        <v/>
      </c>
      <c r="C32" s="7" t="inlineStr">
        <is>
          <t>HP</t>
        </is>
      </c>
      <c r="D32" s="8" t="inlineStr">
        <is>
          <t>Shield resets after every wall stick; boss HP damage persists.</t>
        </is>
      </c>
    </row>
    <row r="33">
      <c r="A33" s="7" t="inlineStr">
        <is>
          <t>Minimum shield-break cycles to kill (derived, if one stick = enough damage)</t>
        </is>
      </c>
      <c r="B33" s="7" t="inlineStr">
        <is>
          <t>depends on your DPS</t>
        </is>
      </c>
      <c r="C33" s="7" t="inlineStr"/>
      <c r="D33" s="8" t="inlineStr">
        <is>
          <t>See TTK Matrix: shield 1000 + HP 4000 with your damage/shot. Vulnerable window = shield break -&gt; wall stick end (&lt;= ~5.2 s).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34" customWidth="1" min="3" max="3"/>
    <col width="30" customWidth="1" min="4" max="4"/>
    <col width="60" customWidth="1" min="5" max="5"/>
  </cols>
  <sheetData>
    <row r="1">
      <c r="A1" s="1" t="inlineStr">
        <is>
          <t>Run structure, dungeon generation, achievements &amp; relics</t>
        </is>
      </c>
    </row>
    <row r="2">
      <c r="A2" s="2" t="inlineStr">
        <is>
          <t>Scene values from RoguelikeMode.unity / BossArena.unity; presets from Assets/Scripts/Dungeon Generator/*.asset.</t>
        </is>
      </c>
    </row>
    <row r="4">
      <c r="A4" s="12" t="inlineStr">
        <is>
          <t>Run flow (RoguelikeManager, scene values)</t>
        </is>
      </c>
      <c r="B4" s="13" t="n"/>
      <c r="C4" s="13" t="n"/>
      <c r="D4" s="13" t="n"/>
      <c r="E4" s="13" t="n"/>
    </row>
    <row r="5">
      <c r="A5" s="6" t="inlineStr">
        <is>
          <t>Parameter</t>
        </is>
      </c>
      <c r="B5" s="6" t="inlineStr">
        <is>
          <t>Value</t>
        </is>
      </c>
      <c r="C5" s="6" t="inlineStr">
        <is>
          <t>Unit</t>
        </is>
      </c>
      <c r="D5" s="6" t="inlineStr">
        <is>
          <t>Source</t>
        </is>
      </c>
      <c r="E5" s="6" t="inlineStr">
        <is>
          <t>Notes</t>
        </is>
      </c>
    </row>
    <row r="6">
      <c r="A6" s="9" t="inlineStr">
        <is>
          <t>roomsTillBoss</t>
        </is>
      </c>
      <c r="B6" s="9" t="n">
        <v>3</v>
      </c>
      <c r="C6" s="9" t="inlineStr">
        <is>
          <t>dungeons</t>
        </is>
      </c>
      <c r="D6" s="9" t="inlineStr">
        <is>
          <t>RoguelikeMode.unity &gt; RoguelikeManager</t>
        </is>
      </c>
      <c r="E6" s="10" t="inlineStr">
        <is>
          <t>Scene = 3; the script default AND its comment say 5. The scene wins.</t>
        </is>
      </c>
    </row>
    <row r="7">
      <c r="A7" s="7" t="inlineStr">
        <is>
          <t>Boss trigger</t>
        </is>
      </c>
      <c r="B7" s="7" t="inlineStr">
        <is>
          <t>after the Nth dungeon clear, skip the shop and go to BossArena</t>
        </is>
      </c>
      <c r="C7" s="7" t="inlineStr"/>
      <c r="D7" s="7" t="inlineStr">
        <is>
          <t>RoguelikeManager.CompleteDungeon</t>
        </is>
      </c>
      <c r="E7" s="8" t="inlineStr">
        <is>
          <t>Shops therefore = roomsTillBoss - 1 (scene: 2).</t>
        </is>
      </c>
    </row>
    <row r="8">
      <c r="A8" s="9" t="inlineStr">
        <is>
          <t>dungeonTimerEnabled</t>
        </is>
      </c>
      <c r="B8" s="9" t="n">
        <v>1</v>
      </c>
      <c r="C8" s="9" t="inlineStr">
        <is>
          <t>bool</t>
        </is>
      </c>
      <c r="D8" s="9" t="inlineStr">
        <is>
          <t>RoguelikeMode.unity &gt; RoguelikeManager</t>
        </is>
      </c>
      <c r="E8" s="10" t="inlineStr">
        <is>
          <t>Scene = on (script default off).</t>
        </is>
      </c>
    </row>
    <row r="9">
      <c r="A9" s="9" t="inlineStr">
        <is>
          <t>dungeonTimeLimit</t>
        </is>
      </c>
      <c r="B9" s="9" t="n">
        <v>120</v>
      </c>
      <c r="C9" s="9" t="inlineStr">
        <is>
          <t>s</t>
        </is>
      </c>
      <c r="D9" s="9" t="inlineStr">
        <is>
          <t>RoguelikeMode.unity &gt; RoguelikeManager</t>
        </is>
      </c>
      <c r="E9" s="10" t="inlineStr">
        <is>
          <t>Timer expiring KILLS the player. Stops when the teleporter completes the dungeon (so it does not run in the shop) and restarts when the next dungeon generates.</t>
        </is>
      </c>
    </row>
    <row r="10">
      <c r="A10" s="7" t="inlineStr">
        <is>
          <t>dungeonTimerWarningThreshold</t>
        </is>
      </c>
      <c r="B10" s="7" t="n">
        <v>15</v>
      </c>
      <c r="C10" s="7" t="inlineStr">
        <is>
          <t>s</t>
        </is>
      </c>
      <c r="D10" s="7" t="inlineStr">
        <is>
          <t>RoguelikeMode.unity &gt; RoguelikeManager</t>
        </is>
      </c>
      <c r="E10" s="8" t="inlineStr"/>
    </row>
    <row r="11">
      <c r="A11" s="7" t="inlineStr">
        <is>
          <t>BASE_DUNGEON_SIZE (main-artery rooms)</t>
        </is>
      </c>
      <c r="B11" s="7" t="n">
        <v>5</v>
      </c>
      <c r="C11" s="7" t="inlineStr">
        <is>
          <t>rooms</t>
        </is>
      </c>
      <c r="D11" s="7" t="inlineStr">
        <is>
          <t>RoguelikeManager (hard-coded)</t>
        </is>
      </c>
      <c r="E11" s="8" t="inlineStr">
        <is>
          <t>Passed to GenerateNewMap(size) -&gt; runtime nodeCount.</t>
        </is>
      </c>
    </row>
    <row r="12">
      <c r="A12" s="7" t="inlineStr">
        <is>
          <t>SIZE_INCREASE_CHANCE</t>
        </is>
      </c>
      <c r="B12" s="7" t="n">
        <v>0.5</v>
      </c>
      <c r="C12" s="7" t="inlineStr">
        <is>
          <t>prob</t>
        </is>
      </c>
      <c r="D12" s="7" t="inlineStr">
        <is>
          <t>RoguelikeManager (hard-coded)</t>
        </is>
      </c>
      <c r="E12" s="8" t="inlineStr">
        <is>
          <t>After each shop, 50% chance size += 1 (persists).</t>
        </is>
      </c>
    </row>
    <row r="13">
      <c r="A13" s="7" t="inlineStr">
        <is>
          <t>Run level increments</t>
        </is>
      </c>
      <c r="B13" s="7" t="inlineStr">
        <is>
          <t>+1 per ContinueDungeon()</t>
        </is>
      </c>
      <c r="C13" s="7" t="inlineStr"/>
      <c r="D13" s="7" t="inlineStr">
        <is>
          <t>RoguelikeManager</t>
        </is>
      </c>
      <c r="E13" s="8" t="inlineStr">
        <is>
          <t>Feeds spawner scaling (see Spawner).</t>
        </is>
      </c>
    </row>
    <row r="14">
      <c r="A14" s="7" t="inlineStr">
        <is>
          <t>Boss level</t>
        </is>
      </c>
      <c r="B14" s="7" t="inlineStr">
        <is>
          <t>BossArena via GameManager.AdvanceToBoss(); bossScene='BossArena'</t>
        </is>
      </c>
      <c r="C14" s="7" t="inlineStr"/>
      <c r="D14" s="7" t="inlineStr">
        <is>
          <t>Boot.unity &gt; GameManager</t>
        </is>
      </c>
      <c r="E14" s="8" t="inlineStr">
        <is>
          <t>Boss defeat = Demo Complete.</t>
        </is>
      </c>
    </row>
    <row r="15">
      <c r="A15" s="7" t="inlineStr">
        <is>
          <t>Teleporter</t>
        </is>
      </c>
      <c r="B15" s="7" t="inlineStr">
        <is>
          <t>activationRadius 2, teleportDelay 1 s, requiresKey 0</t>
        </is>
      </c>
      <c r="C15" s="7" t="inlineStr"/>
      <c r="D15" s="7" t="inlineStr">
        <is>
          <t>Assets/Prefabs/Teleporter.prefab</t>
        </is>
      </c>
      <c r="E15" s="8" t="inlineStr">
        <is>
          <t>Key mechanic present but off (keyPrefab spawn disabled: shouldKeyBeSpawned=0).</t>
        </is>
      </c>
    </row>
    <row r="17">
      <c r="A17" s="12" t="inlineStr">
        <is>
          <t>Dungeon generator presets (MapParametersSO) - RoguelikeMode &amp; BossArena use 'Mapparametersso.asset'</t>
        </is>
      </c>
      <c r="B17" s="13" t="n"/>
      <c r="C17" s="13" t="n"/>
      <c r="D17" s="13" t="n"/>
      <c r="E17" s="13" t="n"/>
    </row>
    <row r="18">
      <c r="A18" s="6" t="inlineStr">
        <is>
          <t>Parameter</t>
        </is>
      </c>
      <c r="B18" s="6" t="inlineStr">
        <is>
          <t>Mapparametersso.asset (IN USE)</t>
        </is>
      </c>
      <c r="C18" s="6" t="inlineStr">
        <is>
          <t>Mapparametersso Big.asset</t>
        </is>
      </c>
      <c r="D18" s="6" t="inlineStr">
        <is>
          <t>Mapparametersso 1.asset</t>
        </is>
      </c>
      <c r="E18" s="6" t="inlineStr">
        <is>
          <t>Notes</t>
        </is>
      </c>
    </row>
    <row r="19">
      <c r="A19" s="9" t="inlineStr">
        <is>
          <t>nodeCount</t>
        </is>
      </c>
      <c r="B19" s="9" t="n">
        <v>7</v>
      </c>
      <c r="C19" s="9" t="n">
        <v>7</v>
      </c>
      <c r="D19" s="9" t="n">
        <v>7</v>
      </c>
      <c r="E19" s="9" t="inlineStr">
        <is>
          <t>Overridden at runtime by RoguelikeManager (5 + increments). Also the number passed to spawner difficulty (7).</t>
        </is>
      </c>
    </row>
    <row r="20">
      <c r="A20" s="7" t="inlineStr">
        <is>
          <t>mainRoomSpacing</t>
        </is>
      </c>
      <c r="B20" s="7" t="n">
        <v>6</v>
      </c>
      <c r="C20" s="7" t="n">
        <v>6</v>
      </c>
      <c r="D20" s="7" t="n">
        <v>6</v>
      </c>
      <c r="E20" s="7" t="inlineStr"/>
    </row>
    <row r="21">
      <c r="A21" s="7" t="inlineStr">
        <is>
          <t>chanceForLTurn</t>
        </is>
      </c>
      <c r="B21" s="7" t="n">
        <v>0.3</v>
      </c>
      <c r="C21" s="7" t="n">
        <v>0.3</v>
      </c>
      <c r="D21" s="7" t="n">
        <v>1</v>
      </c>
      <c r="E21" s="7" t="inlineStr"/>
    </row>
    <row r="22">
      <c r="A22" s="7" t="inlineStr">
        <is>
          <t>mainArteryPositionJitter</t>
        </is>
      </c>
      <c r="B22" s="7" t="n">
        <v>2</v>
      </c>
      <c r="C22" s="7" t="n">
        <v>2</v>
      </c>
      <c r="D22" s="7" t="n">
        <v>2</v>
      </c>
      <c r="E22" s="7" t="inlineStr"/>
    </row>
    <row r="23">
      <c r="A23" s="7" t="inlineStr">
        <is>
          <t>distributiveNodeChancePerSegment</t>
        </is>
      </c>
      <c r="B23" s="7" t="n">
        <v>0.858</v>
      </c>
      <c r="C23" s="7" t="n">
        <v>0.858</v>
      </c>
      <c r="D23" s="7" t="n">
        <v>0.858</v>
      </c>
      <c r="E23" s="7" t="inlineStr"/>
    </row>
    <row r="24">
      <c r="A24" s="7" t="inlineStr">
        <is>
          <t>minLeafNodesPerDistributive</t>
        </is>
      </c>
      <c r="B24" s="7" t="n">
        <v>1</v>
      </c>
      <c r="C24" s="7" t="n">
        <v>1</v>
      </c>
      <c r="D24" s="7" t="n">
        <v>1</v>
      </c>
      <c r="E24" s="7" t="inlineStr"/>
    </row>
    <row r="25">
      <c r="A25" s="7" t="inlineStr">
        <is>
          <t>maxLeafNodesPerDistributive</t>
        </is>
      </c>
      <c r="B25" s="7" t="n">
        <v>3</v>
      </c>
      <c r="C25" s="7" t="n">
        <v>3</v>
      </c>
      <c r="D25" s="7" t="n">
        <v>3</v>
      </c>
      <c r="E25" s="7" t="inlineStr"/>
    </row>
    <row r="26">
      <c r="A26" s="7" t="inlineStr">
        <is>
          <t>leafBranchLength</t>
        </is>
      </c>
      <c r="B26" s="7" t="n">
        <v>6</v>
      </c>
      <c r="C26" s="7" t="n">
        <v>6</v>
      </c>
      <c r="D26" s="7" t="n">
        <v>6</v>
      </c>
      <c r="E26" s="7" t="inlineStr"/>
    </row>
    <row r="27">
      <c r="A27" s="7" t="inlineStr">
        <is>
          <t>leafNodePositionJitter</t>
        </is>
      </c>
      <c r="B27" s="7" t="n">
        <v>1.5</v>
      </c>
      <c r="C27" s="7" t="n">
        <v>1.5</v>
      </c>
      <c r="D27" s="7" t="n">
        <v>1.5</v>
      </c>
      <c r="E27" s="7" t="inlineStr"/>
    </row>
    <row r="28">
      <c r="A28" s="7" t="inlineStr">
        <is>
          <t>baseStartRoomSize</t>
        </is>
      </c>
      <c r="B28" s="7" t="inlineStr">
        <is>
          <t>(6, 6)</t>
        </is>
      </c>
      <c r="C28" s="7" t="inlineStr">
        <is>
          <t>(8, 8)</t>
        </is>
      </c>
      <c r="D28" s="7" t="inlineStr">
        <is>
          <t>(3, 3)</t>
        </is>
      </c>
      <c r="E28" s="7" t="inlineStr"/>
    </row>
    <row r="29">
      <c r="A29" s="7" t="inlineStr">
        <is>
          <t>baseEndRoomSize</t>
        </is>
      </c>
      <c r="B29" s="7" t="inlineStr">
        <is>
          <t>(8, 8)</t>
        </is>
      </c>
      <c r="C29" s="7" t="inlineStr">
        <is>
          <t>(10, 10)</t>
        </is>
      </c>
      <c r="D29" s="7" t="inlineStr">
        <is>
          <t>(8, 8)</t>
        </is>
      </c>
      <c r="E29" s="7" t="inlineStr"/>
    </row>
    <row r="30">
      <c r="A30" s="7" t="inlineStr">
        <is>
          <t>baseMainArteryRoomSize</t>
        </is>
      </c>
      <c r="B30" s="7" t="inlineStr">
        <is>
          <t>(7, 7)</t>
        </is>
      </c>
      <c r="C30" s="7" t="inlineStr">
        <is>
          <t>(8, 8)</t>
        </is>
      </c>
      <c r="D30" s="7" t="inlineStr">
        <is>
          <t>(7, 7)</t>
        </is>
      </c>
      <c r="E30" s="7" t="inlineStr"/>
    </row>
    <row r="31">
      <c r="A31" s="7" t="inlineStr">
        <is>
          <t>baseDistributiveRoomSize</t>
        </is>
      </c>
      <c r="B31" s="7" t="inlineStr">
        <is>
          <t>(5, 5)</t>
        </is>
      </c>
      <c r="C31" s="7" t="inlineStr">
        <is>
          <t>(8, 8)</t>
        </is>
      </c>
      <c r="D31" s="7" t="inlineStr">
        <is>
          <t>(5, 5)</t>
        </is>
      </c>
      <c r="E31" s="7" t="inlineStr"/>
    </row>
    <row r="32">
      <c r="A32" s="7" t="inlineStr">
        <is>
          <t>baseLeafRoomSize</t>
        </is>
      </c>
      <c r="B32" s="7" t="inlineStr">
        <is>
          <t>(5, 5)</t>
        </is>
      </c>
      <c r="C32" s="7" t="inlineStr">
        <is>
          <t>(7, 7)</t>
        </is>
      </c>
      <c r="D32" s="7" t="inlineStr">
        <is>
          <t>(5, 5)</t>
        </is>
      </c>
      <c r="E32" s="7" t="inlineStr"/>
    </row>
    <row r="33">
      <c r="A33" s="7" t="inlineStr">
        <is>
          <t>baseCornerRoomSize</t>
        </is>
      </c>
      <c r="B33" s="7" t="inlineStr">
        <is>
          <t>(4, 4)</t>
        </is>
      </c>
      <c r="C33" s="7" t="inlineStr">
        <is>
          <t>(6, 6)</t>
        </is>
      </c>
      <c r="D33" s="7" t="inlineStr">
        <is>
          <t>(4, 4)</t>
        </is>
      </c>
      <c r="E33" s="7" t="inlineStr"/>
    </row>
    <row r="34">
      <c r="A34" s="7" t="inlineStr">
        <is>
          <t>roomSizeVariationPercentage</t>
        </is>
      </c>
      <c r="B34" s="7" t="n">
        <v>0.331</v>
      </c>
      <c r="C34" s="7" t="n">
        <v>0.331</v>
      </c>
      <c r="D34" s="7" t="n">
        <v>0.8120000000000001</v>
      </c>
      <c r="E34" s="7" t="inlineStr">
        <is>
          <t>+/- fraction applied to base room sizes</t>
        </is>
      </c>
    </row>
    <row r="35">
      <c r="A35" s="7" t="inlineStr">
        <is>
          <t>minRoomDistance</t>
        </is>
      </c>
      <c r="B35" s="7" t="n">
        <v>0</v>
      </c>
      <c r="C35" s="7" t="n">
        <v>0</v>
      </c>
      <c r="D35" s="7" t="n">
        <v>1</v>
      </c>
      <c r="E35" s="7" t="inlineStr"/>
    </row>
    <row r="36">
      <c r="A36" s="7" t="inlineStr">
        <is>
          <t>maxRepositionAttempts</t>
        </is>
      </c>
      <c r="B36" s="7" t="n">
        <v>30</v>
      </c>
      <c r="C36" s="7" t="n">
        <v>30</v>
      </c>
      <c r="D36" s="7" t="n">
        <v>30</v>
      </c>
      <c r="E36" s="7" t="inlineStr"/>
    </row>
    <row r="37">
      <c r="A37" s="7" t="inlineStr">
        <is>
          <t>repositionSearchRadius</t>
        </is>
      </c>
      <c r="B37" s="7" t="n">
        <v>5</v>
      </c>
      <c r="C37" s="7" t="n">
        <v>5</v>
      </c>
      <c r="D37" s="7" t="n">
        <v>5</v>
      </c>
      <c r="E37" s="7" t="inlineStr"/>
    </row>
    <row r="38">
      <c r="A38" s="7" t="inlineStr">
        <is>
          <t>startRoomToArteryDistance</t>
        </is>
      </c>
      <c r="B38" s="7" t="n">
        <v>12</v>
      </c>
      <c r="C38" s="7" t="n">
        <v>12</v>
      </c>
      <c r="D38" s="7" t="n">
        <v>12</v>
      </c>
      <c r="E38" s="7" t="inlineStr"/>
    </row>
    <row r="39">
      <c r="A39" s="7" t="inlineStr">
        <is>
          <t>minStartToEndDistance</t>
        </is>
      </c>
      <c r="B39" s="7" t="n">
        <v>40</v>
      </c>
      <c r="C39" s="7" t="n">
        <v>40</v>
      </c>
      <c r="D39" s="7" t="n">
        <v>40</v>
      </c>
      <c r="E39" s="7" t="inlineStr"/>
    </row>
    <row r="40">
      <c r="A40" s="7" t="inlineStr">
        <is>
          <t>roomRotationChance</t>
        </is>
      </c>
      <c r="B40" s="7" t="n">
        <v>0.5</v>
      </c>
      <c r="C40" s="7" t="n">
        <v>0.5</v>
      </c>
      <c r="D40" s="7" t="n">
        <v>1</v>
      </c>
      <c r="E40" s="7" t="inlineStr"/>
    </row>
    <row r="41">
      <c r="A41" s="7" t="inlineStr">
        <is>
          <t>corridorWidth</t>
        </is>
      </c>
      <c r="B41" s="7" t="n">
        <v>4</v>
      </c>
      <c r="C41" s="7" t="n">
        <v>4</v>
      </c>
      <c r="D41" s="7" t="n">
        <v>6</v>
      </c>
      <c r="E41" s="7" t="inlineStr">
        <is>
          <t>tiles</t>
        </is>
      </c>
    </row>
    <row r="43">
      <c r="A43" s="12" t="inlineStr">
        <is>
          <t>Dungeon generator scene settings (DungeonMapGenerator)</t>
        </is>
      </c>
      <c r="B43" s="13" t="n"/>
      <c r="C43" s="13" t="n"/>
      <c r="D43" s="13" t="n"/>
      <c r="E43" s="13" t="n"/>
    </row>
    <row r="44">
      <c r="A44" s="6" t="inlineStr">
        <is>
          <t>Parameter</t>
        </is>
      </c>
      <c r="B44" s="6" t="inlineStr">
        <is>
          <t>RoguelikeMode</t>
        </is>
      </c>
      <c r="C44" s="6" t="inlineStr">
        <is>
          <t>BossArena</t>
        </is>
      </c>
      <c r="D44" s="6" t="inlineStr">
        <is>
          <t>Notes</t>
        </is>
      </c>
      <c r="E44" s="6" t="inlineStr"/>
    </row>
    <row r="45">
      <c r="A45" s="7" t="inlineStr">
        <is>
          <t>foliageSpawnChance</t>
        </is>
      </c>
      <c r="B45" s="7" t="n">
        <v>0.12</v>
      </c>
      <c r="C45" s="7" t="n">
        <v>0.2</v>
      </c>
      <c r="D45" s="7" t="inlineStr"/>
    </row>
    <row r="46">
      <c r="A46" s="7" t="inlineStr">
        <is>
          <t>minDistanceBetweenSpawners</t>
        </is>
      </c>
      <c r="B46" s="7" t="n">
        <v>5</v>
      </c>
      <c r="C46" s="7" t="n">
        <v>5</v>
      </c>
      <c r="D46" s="7" t="inlineStr">
        <is>
          <t>u</t>
        </is>
      </c>
    </row>
    <row r="47">
      <c r="A47" s="7" t="inlineStr">
        <is>
          <t>spawnEnemySpawnersInMainRooms</t>
        </is>
      </c>
      <c r="B47" s="7" t="n">
        <v>1</v>
      </c>
      <c r="C47" s="7" t="n">
        <v>1</v>
      </c>
      <c r="D47" s="7" t="inlineStr"/>
    </row>
    <row r="48">
      <c r="A48" s="7" t="inlineStr">
        <is>
          <t>enableSpawnerRespawn</t>
        </is>
      </c>
      <c r="B48" s="7" t="n">
        <v>0</v>
      </c>
      <c r="C48" s="7" t="n">
        <v>0</v>
      </c>
      <c r="D48" s="7" t="inlineStr"/>
    </row>
    <row r="49">
      <c r="A49" s="7" t="inlineStr">
        <is>
          <t>relicSpawnChance</t>
        </is>
      </c>
      <c r="B49" s="7" t="n">
        <v>0.25</v>
      </c>
      <c r="C49" s="7" t="n">
        <v>0.25</v>
      </c>
      <c r="D49" s="7" t="inlineStr">
        <is>
          <t>Per eligible room, not the key room.</t>
        </is>
      </c>
    </row>
    <row r="50">
      <c r="A50" s="7" t="inlineStr">
        <is>
          <t>roomsPerRelicType</t>
        </is>
      </c>
      <c r="B50" s="7" t="n">
        <v>1</v>
      </c>
      <c r="C50" s="7" t="n">
        <v>1</v>
      </c>
      <c r="D50" s="7" t="inlineStr">
        <is>
          <t>Relic index = counter / roomsPerRelicType, wraps around available prefabs.</t>
        </is>
      </c>
    </row>
    <row r="51">
      <c r="A51" s="7" t="inlineStr">
        <is>
          <t>shouldKeyBeSpawned</t>
        </is>
      </c>
      <c r="B51" s="7" t="n">
        <v>0</v>
      </c>
      <c r="C51" s="7" t="n">
        <v>0</v>
      </c>
      <c r="D51" s="7" t="inlineStr"/>
    </row>
    <row r="52">
      <c r="A52" s="9" t="inlineStr">
        <is>
          <t>relicPrefabs count</t>
        </is>
      </c>
      <c r="B52" s="9" t="n">
        <v>1</v>
      </c>
      <c r="C52" s="9" t="n">
        <v>8</v>
      </c>
      <c r="D52" s="9" t="inlineStr">
        <is>
          <t>RoguelikeMode only has Relic 1 assigned; BossArena has all 8.</t>
        </is>
      </c>
      <c r="E52" s="9" t="inlineStr"/>
    </row>
    <row r="54">
      <c r="A54" s="12" t="inlineStr">
        <is>
          <t>Relics (8 prefabs, Assets/Prefabs/Relics)</t>
        </is>
      </c>
      <c r="B54" s="13" t="n"/>
      <c r="C54" s="13" t="n"/>
      <c r="D54" s="13" t="n"/>
      <c r="E54" s="13" t="n"/>
    </row>
    <row r="55">
      <c r="A55" s="6" t="inlineStr">
        <is>
          <t>Prefab</t>
        </is>
      </c>
      <c r="B55" s="6" t="inlineStr">
        <is>
          <t>relicIndex</t>
        </is>
      </c>
      <c r="C55" s="6" t="inlineStr">
        <is>
          <t>Gameplay effect</t>
        </is>
      </c>
      <c r="D55" s="6" t="inlineStr">
        <is>
          <t>Notes</t>
        </is>
      </c>
      <c r="E55" s="6" t="inlineStr"/>
    </row>
    <row r="56">
      <c r="A56" s="7" t="inlineStr">
        <is>
          <t>Relic 1</t>
        </is>
      </c>
      <c r="B56" s="7" t="n">
        <v>0</v>
      </c>
      <c r="C56" s="7" t="inlineStr">
        <is>
          <t>none</t>
        </is>
      </c>
      <c r="D56" s="7" t="inlineStr">
        <is>
          <t>Counts toward the 'Relic Hunter' achievement only. Duplicate pickup = +50 to LIFETIME coins stat (no purse credit).</t>
        </is>
      </c>
    </row>
    <row r="57">
      <c r="A57" s="7" t="inlineStr">
        <is>
          <t>Relic 2</t>
        </is>
      </c>
      <c r="B57" s="7" t="n">
        <v>1</v>
      </c>
      <c r="C57" s="7" t="inlineStr">
        <is>
          <t>none</t>
        </is>
      </c>
      <c r="D57" s="7" t="inlineStr">
        <is>
          <t>Counts toward the 'Relic Hunter' achievement only. Duplicate pickup = +50 to LIFETIME coins stat (no purse credit).</t>
        </is>
      </c>
    </row>
    <row r="58">
      <c r="A58" s="7" t="inlineStr">
        <is>
          <t>Relic 3</t>
        </is>
      </c>
      <c r="B58" s="7" t="n">
        <v>2</v>
      </c>
      <c r="C58" s="7" t="inlineStr">
        <is>
          <t>none</t>
        </is>
      </c>
      <c r="D58" s="7" t="inlineStr">
        <is>
          <t>Counts toward the 'Relic Hunter' achievement only. Duplicate pickup = +50 to LIFETIME coins stat (no purse credit).</t>
        </is>
      </c>
    </row>
    <row r="59">
      <c r="A59" s="7" t="inlineStr">
        <is>
          <t>Relic 4</t>
        </is>
      </c>
      <c r="B59" s="7" t="n">
        <v>3</v>
      </c>
      <c r="C59" s="7" t="inlineStr">
        <is>
          <t>none</t>
        </is>
      </c>
      <c r="D59" s="7" t="inlineStr">
        <is>
          <t>Counts toward the 'Relic Hunter' achievement only. Duplicate pickup = +50 to LIFETIME coins stat (no purse credit).</t>
        </is>
      </c>
    </row>
    <row r="60">
      <c r="A60" s="7" t="inlineStr">
        <is>
          <t>Relic 5</t>
        </is>
      </c>
      <c r="B60" s="7" t="n">
        <v>4</v>
      </c>
      <c r="C60" s="7" t="inlineStr">
        <is>
          <t>none</t>
        </is>
      </c>
      <c r="D60" s="7" t="inlineStr">
        <is>
          <t>Counts toward the 'Relic Hunter' achievement only. Duplicate pickup = +50 to LIFETIME coins stat (no purse credit).</t>
        </is>
      </c>
    </row>
    <row r="61">
      <c r="A61" s="7" t="inlineStr">
        <is>
          <t>Relic 6</t>
        </is>
      </c>
      <c r="B61" s="7" t="n">
        <v>5</v>
      </c>
      <c r="C61" s="7" t="inlineStr">
        <is>
          <t>none</t>
        </is>
      </c>
      <c r="D61" s="7" t="inlineStr">
        <is>
          <t>Counts toward the 'Relic Hunter' achievement only. Duplicate pickup = +50 to LIFETIME coins stat (no purse credit).</t>
        </is>
      </c>
    </row>
    <row r="62">
      <c r="A62" s="7" t="inlineStr">
        <is>
          <t>Relic 7</t>
        </is>
      </c>
      <c r="B62" s="7" t="n">
        <v>6</v>
      </c>
      <c r="C62" s="7" t="inlineStr">
        <is>
          <t>none</t>
        </is>
      </c>
      <c r="D62" s="7" t="inlineStr">
        <is>
          <t>Counts toward the 'Relic Hunter' achievement only. Duplicate pickup = +50 to LIFETIME coins stat (no purse credit).</t>
        </is>
      </c>
    </row>
    <row r="63">
      <c r="A63" s="7" t="inlineStr">
        <is>
          <t>Relic 8</t>
        </is>
      </c>
      <c r="B63" s="7" t="n">
        <v>7</v>
      </c>
      <c r="C63" s="7" t="inlineStr">
        <is>
          <t>none</t>
        </is>
      </c>
      <c r="D63" s="7" t="inlineStr">
        <is>
          <t>Counts toward the 'Relic Hunter' achievement only. Duplicate pickup = +50 to LIFETIME coins stat (no purse credit).</t>
        </is>
      </c>
    </row>
    <row r="65">
      <c r="A65" s="12" t="inlineStr">
        <is>
          <t>Achievements (AchievementManager, hard-coded)</t>
        </is>
      </c>
      <c r="B65" s="13" t="n"/>
      <c r="C65" s="13" t="n"/>
      <c r="D65" s="13" t="n"/>
      <c r="E65" s="13" t="n"/>
    </row>
    <row r="66">
      <c r="A66" s="6" t="inlineStr">
        <is>
          <t>ID</t>
        </is>
      </c>
      <c r="B66" s="6" t="inlineStr">
        <is>
          <t>Name</t>
        </is>
      </c>
      <c r="C66" s="6" t="inlineStr">
        <is>
          <t>Type</t>
        </is>
      </c>
      <c r="D66" s="6" t="inlineStr">
        <is>
          <t>Required</t>
        </is>
      </c>
      <c r="E66" s="6" t="inlineStr">
        <is>
          <t>Reward</t>
        </is>
      </c>
    </row>
    <row r="67">
      <c r="A67" s="7" t="inlineStr">
        <is>
          <t>kill_1000</t>
        </is>
      </c>
      <c r="B67" s="7" t="inlineStr">
        <is>
          <t>Legendary Executioner</t>
        </is>
      </c>
      <c r="C67" s="7" t="inlineStr">
        <is>
          <t>TotalKills (lifetime)</t>
        </is>
      </c>
      <c r="D67" s="7" t="n">
        <v>1000</v>
      </c>
      <c r="E67" s="7" t="inlineStr">
        <is>
          <t>none yet</t>
        </is>
      </c>
    </row>
    <row r="68">
      <c r="A68" s="7" t="inlineStr">
        <is>
          <t>coin_1000</t>
        </is>
      </c>
      <c r="B68" s="7" t="inlineStr">
        <is>
          <t>Golden Hoarder</t>
        </is>
      </c>
      <c r="C68" s="7" t="inlineStr">
        <is>
          <t>TotalCoins (lifetime)</t>
        </is>
      </c>
      <c r="D68" s="7" t="n">
        <v>1000</v>
      </c>
      <c r="E68" s="7" t="inlineStr">
        <is>
          <t>none yet</t>
        </is>
      </c>
    </row>
    <row r="69">
      <c r="A69" s="7" t="inlineStr">
        <is>
          <t>relic_all_complete</t>
        </is>
      </c>
      <c r="B69" s="7" t="inlineStr">
        <is>
          <t>Relic Hunter</t>
        </is>
      </c>
      <c r="C69" s="7" t="inlineStr">
        <is>
          <t>All 8 relics in ONE run</t>
        </is>
      </c>
      <c r="D69" s="7" t="n">
        <v>8</v>
      </c>
      <c r="E69" s="7" t="inlineStr">
        <is>
          <t>'Unlocks: Shotgun' (not implemented - Shotgun is already in the loadout)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40" customWidth="1" min="3" max="3"/>
    <col width="70" customWidth="1" min="4" max="4"/>
    <col width="10" customWidth="1" min="5" max="5"/>
  </cols>
  <sheetData>
    <row r="1">
      <c r="A1" s="1" t="inlineStr">
        <is>
          <t>Coin economy overview (sources, sinks, expectations)</t>
        </is>
      </c>
    </row>
    <row r="2">
      <c r="A2" s="2" t="inlineStr">
        <is>
          <t>Coins are BOTH the currency and the player's health. Derived figures use formulas linked to the other sheets.</t>
        </is>
      </c>
    </row>
    <row r="4">
      <c r="A4" s="12" t="inlineStr">
        <is>
          <t>Sources</t>
        </is>
      </c>
      <c r="B4" s="13" t="n"/>
      <c r="C4" s="13" t="n"/>
      <c r="D4" s="13" t="n"/>
      <c r="E4" s="13" t="n"/>
    </row>
    <row r="5">
      <c r="A5" s="6" t="inlineStr">
        <is>
          <t>Source</t>
        </is>
      </c>
      <c r="B5" s="6" t="inlineStr">
        <is>
          <t>Avg coins per event</t>
        </is>
      </c>
      <c r="C5" s="6" t="inlineStr">
        <is>
          <t>Basis</t>
        </is>
      </c>
      <c r="D5" s="6" t="inlineStr">
        <is>
          <t>Notes</t>
        </is>
      </c>
      <c r="E5" s="6" t="inlineStr"/>
    </row>
    <row r="6">
      <c r="A6" s="7" t="inlineStr">
        <is>
          <t>Enemy 1 kill</t>
        </is>
      </c>
      <c r="B6" s="7">
        <f>Enemies!M5</f>
        <v/>
      </c>
      <c r="C6" s="7" t="inlineStr">
        <is>
          <t>Enemy 1 minCoins..maxCoins</t>
        </is>
      </c>
      <c r="D6" s="7" t="inlineStr">
        <is>
          <t>The only melee enemy spawned. Coin value = 1 each.</t>
        </is>
      </c>
    </row>
    <row r="7">
      <c r="A7" s="7" t="inlineStr">
        <is>
          <t>Enemy 2 / Enemy 3 kill (if used)</t>
        </is>
      </c>
      <c r="B7" s="7">
        <f>Enemies!M6</f>
        <v/>
      </c>
      <c r="C7" s="7" t="inlineStr">
        <is>
          <t>min..max</t>
        </is>
      </c>
      <c r="D7" s="7" t="inlineStr">
        <is>
          <t>Not in the spawner roster.</t>
        </is>
      </c>
    </row>
    <row r="8">
      <c r="A8" s="7" t="inlineStr">
        <is>
          <t>Ranged / Cthulhu Eye kill</t>
        </is>
      </c>
      <c r="B8" s="7" t="n">
        <v>0</v>
      </c>
      <c r="C8" s="7" t="inlineStr">
        <is>
          <t>no coin drop code</t>
        </is>
      </c>
      <c r="D8" s="7" t="inlineStr">
        <is>
          <t>Kills give no coins.</t>
        </is>
      </c>
    </row>
    <row r="9">
      <c r="A9" s="7" t="inlineStr">
        <is>
          <t>Spawner destroyed</t>
        </is>
      </c>
      <c r="B9" s="7">
        <f>ROUND(Spawner!B5*0.01,0)</f>
        <v/>
      </c>
      <c r="C9" s="7" t="inlineStr">
        <is>
          <t>remaining budget * 0.01</t>
        </is>
      </c>
      <c r="D9" s="7" t="inlineStr">
        <is>
          <t>Uses base budget as a lower bound; effective budget is ~750+.</t>
        </is>
      </c>
    </row>
    <row r="10">
      <c r="A10" s="7" t="inlineStr">
        <is>
          <t>Boss kill</t>
        </is>
      </c>
      <c r="B10" s="7">
        <f>Enemies!M11</f>
        <v/>
      </c>
      <c r="C10" s="7" t="inlineStr">
        <is>
          <t>200-250</t>
        </is>
      </c>
      <c r="D10" s="7" t="inlineStr">
        <is>
          <t>Above the 200-coin purse cap.</t>
        </is>
      </c>
    </row>
    <row r="11">
      <c r="A11" s="9" t="inlineStr">
        <is>
          <t>Duplicate relic</t>
        </is>
      </c>
      <c r="B11" s="9" t="inlineStr">
        <is>
          <t>0 (lifetime stat +50)</t>
        </is>
      </c>
      <c r="C11" s="9" t="inlineStr">
        <is>
          <t>RelicManager</t>
        </is>
      </c>
      <c r="D11" s="9" t="inlineStr">
        <is>
          <t>Does not credit the run purse.</t>
        </is>
      </c>
    </row>
    <row r="13">
      <c r="A13" s="12" t="inlineStr">
        <is>
          <t>Sinks</t>
        </is>
      </c>
      <c r="B13" s="13" t="n"/>
      <c r="C13" s="13" t="n"/>
      <c r="D13" s="13" t="n"/>
      <c r="E13" s="13" t="n"/>
    </row>
    <row r="14">
      <c r="A14" s="6" t="inlineStr">
        <is>
          <t>Sink</t>
        </is>
      </c>
      <c r="B14" s="6" t="inlineStr">
        <is>
          <t>Cost (coins)</t>
        </is>
      </c>
      <c r="C14" s="6" t="inlineStr">
        <is>
          <t>Basis</t>
        </is>
      </c>
      <c r="D14" s="6" t="inlineStr">
        <is>
          <t>Notes</t>
        </is>
      </c>
      <c r="E14" s="6" t="inlineStr"/>
    </row>
    <row r="15">
      <c r="A15" s="7" t="inlineStr">
        <is>
          <t>Taking a hit</t>
        </is>
      </c>
      <c r="B15" s="7">
        <f>Player!C6</f>
        <v/>
      </c>
      <c r="C15" s="7" t="inlineStr">
        <is>
          <t>coinsLostPerHit</t>
        </is>
      </c>
      <c r="D15" s="7" t="inlineStr">
        <is>
          <t>Also the player's HP loss.</t>
        </is>
      </c>
    </row>
    <row r="16">
      <c r="A16" s="7" t="inlineStr">
        <is>
          <t>Upgrade purchase</t>
        </is>
      </c>
      <c r="B16" s="7">
        <f>Upgrades!H13</f>
        <v/>
      </c>
      <c r="C16" s="7" t="inlineStr">
        <is>
          <t>CigData.cost (all 10 except Electric-2 = 0)</t>
        </is>
      </c>
      <c r="D16" s="7" t="inlineStr"/>
    </row>
    <row r="17">
      <c r="A17" s="7" t="inlineStr">
        <is>
          <t>Reshuffle #1</t>
        </is>
      </c>
      <c r="B17" s="7" t="n">
        <v>5</v>
      </c>
      <c r="C17" s="7" t="inlineStr">
        <is>
          <t>reshuffleBaseCost</t>
        </is>
      </c>
      <c r="D17" s="7" t="inlineStr">
        <is>
          <t>+50% compounding, see Upgrades sheet.</t>
        </is>
      </c>
    </row>
    <row r="18">
      <c r="A18" s="7" t="inlineStr">
        <is>
          <t>Stomp (if enabled)</t>
        </is>
      </c>
      <c r="B18" s="7" t="n">
        <v>10</v>
      </c>
      <c r="C18" s="7" t="inlineStr">
        <is>
          <t>stompCoinCost</t>
        </is>
      </c>
      <c r="D18" s="7" t="inlineStr">
        <is>
          <t>Disabled (stompCostCoins = 0).</t>
        </is>
      </c>
    </row>
    <row r="20">
      <c r="A20" s="12" t="inlineStr">
        <is>
          <t>Derived expectations (illustrative - edit inputs)</t>
        </is>
      </c>
      <c r="B20" s="13" t="n"/>
      <c r="C20" s="13" t="n"/>
      <c r="D20" s="13" t="n"/>
      <c r="E20" s="13" t="n"/>
    </row>
    <row r="21">
      <c r="A21" s="6" t="inlineStr">
        <is>
          <t>Metric</t>
        </is>
      </c>
      <c r="B21" s="6" t="inlineStr">
        <is>
          <t>Value</t>
        </is>
      </c>
      <c r="C21" s="6" t="inlineStr">
        <is>
          <t>Formula basis</t>
        </is>
      </c>
      <c r="D21" s="6" t="inlineStr">
        <is>
          <t>Notes</t>
        </is>
      </c>
      <c r="E21" s="6" t="inlineStr"/>
    </row>
    <row r="22">
      <c r="A22" s="7" t="inlineStr">
        <is>
          <t>Fodder kills to afford one upgrade (10 coins)</t>
        </is>
      </c>
      <c r="B22" s="7">
        <f>ROUNDUP(10/B6,0)</f>
        <v/>
      </c>
      <c r="C22" s="7" t="inlineStr">
        <is>
          <t>10 / avg coins</t>
        </is>
      </c>
      <c r="D22" s="7" t="inlineStr"/>
    </row>
    <row r="23">
      <c r="A23" s="7" t="inlineStr">
        <is>
          <t>Fodder kills to refill 1 hit (30 coins)</t>
        </is>
      </c>
      <c r="B23" s="7">
        <f>ROUNDUP(Player!C6/B6,0)</f>
        <v/>
      </c>
      <c r="C23" s="7" t="inlineStr">
        <is>
          <t>coinsLostPerHit / avg coins</t>
        </is>
      </c>
      <c r="D23" s="7" t="inlineStr"/>
    </row>
    <row r="24">
      <c r="A24" s="7" t="inlineStr">
        <is>
          <t>Kills to fill purse from 0</t>
        </is>
      </c>
      <c r="B24" s="7">
        <f>ROUNDUP(Player!C15/B6,0)</f>
        <v/>
      </c>
      <c r="C24" s="7" t="inlineStr">
        <is>
          <t>cap / avg coins</t>
        </is>
      </c>
      <c r="D24" s="7" t="inlineStr"/>
    </row>
    <row r="25">
      <c r="A25" s="7" t="inlineStr">
        <is>
          <t>Max fodder per spawner (lifetime cap)</t>
        </is>
      </c>
      <c r="B25" s="7">
        <f>Spawner!E18</f>
        <v/>
      </c>
      <c r="C25" s="7" t="inlineStr">
        <is>
          <t>maxAllowed</t>
        </is>
      </c>
      <c r="D25" s="7" t="inlineStr">
        <is>
          <t>At most this many Enemy 1 ever spawn from one spawner.</t>
        </is>
      </c>
    </row>
    <row r="26">
      <c r="A26" s="7" t="inlineStr">
        <is>
          <t>Max coins from a spawner's fodder</t>
        </is>
      </c>
      <c r="B26" s="7">
        <f>B25*B6</f>
        <v/>
      </c>
      <c r="C26" s="7" t="inlineStr">
        <is>
          <t>cap * avg</t>
        </is>
      </c>
      <c r="D26" s="7" t="inlineStr">
        <is>
          <t>Upper bound per spawner, ignoring ranged/eye (no coins) and spawner-kill bonus.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80" customWidth="1" min="3" max="3"/>
    <col width="60" customWidth="1" min="4" max="4"/>
    <col width="48" customWidth="1" min="5" max="5"/>
  </cols>
  <sheetData>
    <row r="1">
      <c r="A1" s="1" t="inlineStr">
        <is>
          <t>Findings &amp; discrepancies spotted while collecting the data</t>
        </is>
      </c>
    </row>
    <row r="2">
      <c r="A2" s="2" t="inlineStr">
        <is>
          <t>These are things that affect balancing decisions. Nothing here was changed in the project.</t>
        </is>
      </c>
    </row>
    <row r="4">
      <c r="A4" s="6" t="inlineStr">
        <is>
          <t>#</t>
        </is>
      </c>
      <c r="B4" s="6" t="inlineStr">
        <is>
          <t>Area</t>
        </is>
      </c>
      <c r="C4" s="6" t="inlineStr">
        <is>
          <t>Finding</t>
        </is>
      </c>
      <c r="D4" s="6" t="inlineStr">
        <is>
          <t>Why it matters for balance</t>
        </is>
      </c>
      <c r="E4" s="6" t="inlineStr">
        <is>
          <t>Where</t>
        </is>
      </c>
    </row>
    <row r="5">
      <c r="A5" s="7" t="n">
        <v>1</v>
      </c>
      <c r="B5" s="7" t="inlineStr">
        <is>
          <t>Damage model</t>
        </is>
      </c>
      <c r="C5" s="8" t="inlineStr">
        <is>
          <t>Every hit on the player costs a flat coinsLostPerHit (30). Enemy attackDamage, bulletDamage, boss bulletDamage and pentagram damage values are passed in but ignored.</t>
        </is>
      </c>
      <c r="D5" s="8" t="inlineStr">
        <is>
          <t>Tuning those numbers does nothing. To differentiate enemy damage, PlayerHealth.TakeDamage must use its damage argument.</t>
        </is>
      </c>
      <c r="E5" s="8" t="inlineStr">
        <is>
          <t>PlayerHealth.cs TakeDamage; Enemy.cs; Bullet.cs; BossEnemy.cs; EscapePentagram.cs</t>
        </is>
      </c>
    </row>
    <row r="6">
      <c r="A6" s="7" t="n">
        <v>2</v>
      </c>
      <c r="B6" s="7" t="inlineStr">
        <is>
          <t>Health = coins</t>
        </is>
      </c>
      <c r="C6" s="8" t="inlineStr">
        <is>
          <t>Player HP is the coin balance (start 50, cap 200). At 30/hit that is 2 hits from start, ~7 hits from a full purse; spending coins in the shop lowers your HP.</t>
        </is>
      </c>
      <c r="D6" s="8" t="inlineStr">
        <is>
          <t>Shopping is a direct trade against survivability.</t>
        </is>
      </c>
      <c r="E6" s="8" t="inlineStr">
        <is>
          <t>PlayerHealth.cs; CoinManager (scene)</t>
        </is>
      </c>
    </row>
    <row r="7">
      <c r="A7" s="7" t="n">
        <v>3</v>
      </c>
      <c r="B7" s="7" t="inlineStr">
        <is>
          <t>Scene vs script defaults</t>
        </is>
      </c>
      <c r="C7" s="8" t="inlineStr">
        <is>
          <t>roomsTillBoss: script 5 (comment says raised from 3) vs scene 3. dungeonTimerEnabled: script off vs scene ON with a 120 s limit that kills the player. coinsLostPerHit: script 100 vs prefab 30.</t>
        </is>
      </c>
      <c r="D7" s="8" t="inlineStr">
        <is>
          <t>Serialized values are what ships. Old notes and script defaults are misleading.</t>
        </is>
      </c>
      <c r="E7" s="8" t="inlineStr">
        <is>
          <t>RoguelikeManager.cs vs RoguelikeMode.unity</t>
        </is>
      </c>
    </row>
    <row r="8">
      <c r="A8" s="7" t="n">
        <v>4</v>
      </c>
      <c r="B8" s="7" t="inlineStr">
        <is>
          <t>Spawner level scaling</t>
        </is>
      </c>
      <c r="C8" s="8" t="inlineStr">
        <is>
          <t>Generator always calls SetDungeonLevel(nodeCount=7) regardless of run level (+350 budget, -1.05 s interval), then RoguelikeManager adds +50*level budget and -0.15*level interval. Scaling is implemented, not deferred.</t>
        </is>
      </c>
      <c r="D8" s="8" t="inlineStr">
        <is>
          <t>In the shipping 3-dungeon run the effective budget is 750 / 850 / 900 (dungeon 1/2/3) and the interval sits at or near the 0.5 s floor, so difficulty barely changes between dungeons.</t>
        </is>
      </c>
      <c r="E8" s="8" t="inlineStr">
        <is>
          <t>DungeonMapGenerator.ConfigureSpawnerForRoom; EnemySpawner.UpdateDifficultyForLevel</t>
        </is>
      </c>
    </row>
    <row r="9">
      <c r="A9" s="7" t="n">
        <v>5</v>
      </c>
      <c r="B9" s="7" t="inlineStr">
        <is>
          <t>Spawner lifetime cap</t>
        </is>
      </c>
      <c r="C9" s="8" t="inlineStr">
        <is>
          <t>SpawnableEnemy.currentSpawned is never decremented, so maxAllowed is a lifetime cap. One spawner produces at most 12 Enemy 1 + 2 Ranged + 1 Eye = 15 enemies, costing 320 of ~750+ budget.</t>
        </is>
      </c>
      <c r="D9" s="8" t="inlineStr">
        <is>
          <t>Budget is effectively irrelevant; enemy count per dungeon = spawners x 15 at most. Enemy 2/3 are not in the roster.</t>
        </is>
      </c>
      <c r="E9" s="8" t="inlineStr">
        <is>
          <t>EnemySpawner.cs; Enemy Spawner.prefab</t>
        </is>
      </c>
    </row>
    <row r="10">
      <c r="A10" s="7" t="n">
        <v>6</v>
      </c>
      <c r="B10" s="7" t="inlineStr">
        <is>
          <t>Spawner interval override</t>
        </is>
      </c>
      <c r="C10" s="8" t="inlineStr">
        <is>
          <t>Prefab spawnInterval 0.7 is replaced by Random(1..3) at generation.</t>
        </is>
      </c>
      <c r="D10" s="8" t="inlineStr">
        <is>
          <t>Prefab value is not what plays.</t>
        </is>
      </c>
      <c r="E10" s="8" t="inlineStr">
        <is>
          <t>DungeonMapGenerator.cs:990</t>
        </is>
      </c>
    </row>
    <row r="11">
      <c r="A11" s="7" t="n">
        <v>7</v>
      </c>
      <c r="B11" s="7" t="inlineStr">
        <is>
          <t>Relics do nothing</t>
        </is>
      </c>
      <c r="C11" s="8" t="inlineStr">
        <is>
          <t>The 8 relics have no gameplay effect; they only feed one achievement and duplicates add +50 to a lifetime stat.</t>
        </is>
      </c>
      <c r="D11" s="8" t="inlineStr">
        <is>
          <t>Nothing to balance yet; a duplicate 'coin reward' does not pay the run purse.</t>
        </is>
      </c>
      <c r="E11" s="8" t="inlineStr">
        <is>
          <t>RelicManager.cs</t>
        </is>
      </c>
    </row>
    <row r="12">
      <c r="A12" s="7" t="n">
        <v>8</v>
      </c>
      <c r="B12" s="7" t="inlineStr">
        <is>
          <t>Shotgun damage model</t>
        </is>
      </c>
      <c r="C12" s="8" t="inlineStr">
        <is>
          <t>One shot deals pellet damage (150) to each distinct enemy hit, max one pellet per enemy. 6 pellets = up to 6 targets, not 900 to one.</t>
        </is>
      </c>
      <c r="D12" s="8" t="inlineStr">
        <is>
          <t>Bonus-pellet cig only helps against groups. Damage per target per shot = 150.</t>
        </is>
      </c>
      <c r="E12" s="8" t="inlineStr">
        <is>
          <t>PlayerConeShooter.FireShotgun</t>
        </is>
      </c>
    </row>
    <row r="13">
      <c r="A13" s="7" t="n">
        <v>9</v>
      </c>
      <c r="B13" s="7" t="inlineStr">
        <is>
          <t>Weapon switch refill</t>
        </is>
      </c>
      <c r="C13" s="8" t="inlineStr">
        <is>
          <t>Switching weapons refills every magazine instantly.</t>
        </is>
      </c>
      <c r="D13" s="8" t="inlineStr">
        <is>
          <t>Free instant reload; AK/Shotgun swap-cancels reloads.</t>
        </is>
      </c>
      <c r="E13" s="8" t="inlineStr">
        <is>
          <t>WeaponAmmoManager.OnWeaponSwitched</t>
        </is>
      </c>
    </row>
    <row r="14">
      <c r="A14" s="7" t="n">
        <v>10</v>
      </c>
      <c r="B14" s="7" t="inlineStr">
        <is>
          <t>Pistol unused</t>
        </is>
      </c>
      <c r="C14" s="8" t="inlineStr">
        <is>
          <t>Pistol.asset (Piercer, 100 dmg, 12 mag) is not in WeaponInventory.availableWeapons. Achievement reward text says it unlocks the Shotgun, which is already equipped.</t>
        </is>
      </c>
      <c r="D14" s="8" t="inlineStr">
        <is>
          <t>Only AK47 and Shotgun are balanced in practice.</t>
        </is>
      </c>
      <c r="E14" s="8" t="inlineStr">
        <is>
          <t>WeaponInventory / player prefab</t>
        </is>
      </c>
    </row>
    <row r="15">
      <c r="A15" s="7" t="n">
        <v>11</v>
      </c>
      <c r="B15" s="7" t="inlineStr">
        <is>
          <t>Debug cigs in scene</t>
        </is>
      </c>
      <c r="C15" s="8" t="inlineStr">
        <is>
          <t>RoguelikeMode carries a DebugUpgradeInjector granting Chain Dash, Primary Dmg &amp; Crit and Stomp Circle (Tier 1) at start.</t>
        </is>
      </c>
      <c r="D15" s="8" t="inlineStr">
        <is>
          <t>Playtest builds may start with 3 free upgrades. Confirm before measuring runs.</t>
        </is>
      </c>
      <c r="E15" s="8" t="inlineStr">
        <is>
          <t>RoguelikeMode.unity &gt; __Pack Manager__</t>
        </is>
      </c>
    </row>
    <row r="16">
      <c r="A16" s="7" t="n">
        <v>12</v>
      </c>
      <c r="B16" s="7" t="inlineStr">
        <is>
          <t>Cheat key in build</t>
        </is>
      </c>
      <c r="C16" s="8" t="inlineStr">
        <is>
          <t>Pressing I toggles invincibility even in non-development builds (enableToggleInBuild = 1).</t>
        </is>
      </c>
      <c r="D16" s="8" t="inlineStr">
        <is>
          <t>Balance/playtest data may be polluted; remove before release.</t>
        </is>
      </c>
      <c r="E16" s="8" t="inlineStr">
        <is>
          <t>PlayerHealth.cs</t>
        </is>
      </c>
    </row>
    <row r="17">
      <c r="A17" s="7" t="n">
        <v>13</v>
      </c>
      <c r="B17" s="7" t="inlineStr">
        <is>
          <t>Upgrade cost</t>
        </is>
      </c>
      <c r="C17" s="8" t="inlineStr">
        <is>
          <t>All cigs cost 10 except 'Inc Secondary Pellets' (Electric-2) = 0.</t>
        </is>
      </c>
      <c r="D17" s="8" t="inlineStr">
        <is>
          <t>Likely an oversight.</t>
        </is>
      </c>
      <c r="E17" s="8" t="inlineStr">
        <is>
          <t>Secondary Pellet inc.asset</t>
        </is>
      </c>
    </row>
    <row r="18">
      <c r="A18" s="7" t="n">
        <v>14</v>
      </c>
      <c r="B18" s="7" t="inlineStr">
        <is>
          <t>Unused/legacy fields</t>
        </is>
      </c>
      <c r="C18" s="8" t="inlineStr">
        <is>
          <t>Boss bulletsPerWave and directionChangeInterval are unused; PlayerHealth.knockbackDuration unused; Spawner maxEnemies unused; stompCostCoins off.</t>
        </is>
      </c>
      <c r="D18" s="8" t="inlineStr">
        <is>
          <t>Editing them changes nothing.</t>
        </is>
      </c>
      <c r="E18" s="8" t="inlineStr">
        <is>
          <t>BossEnemy.cs; PlayerHealth.cs; EnemySpawner.cs</t>
        </is>
      </c>
    </row>
    <row r="19">
      <c r="A19" s="7" t="n">
        <v>15</v>
      </c>
      <c r="B19" s="7" t="inlineStr">
        <is>
          <t>Ranged &amp; Eye</t>
        </is>
      </c>
      <c r="C19" s="8" t="inlineStr">
        <is>
          <t>Ranged enemy and Cthulhu Eye drop no coins. The Eye does not register kills with EnemyKillTracker (kill achievement / stats).</t>
        </is>
      </c>
      <c r="D19" s="8" t="inlineStr">
        <is>
          <t>They give no economic reward for their high spawn cost; kills undercounted.</t>
        </is>
      </c>
      <c r="E19" s="8" t="inlineStr">
        <is>
          <t>TriangleEnemy.cs; CthuluEyeEnemy.cs</t>
        </is>
      </c>
    </row>
    <row r="20">
      <c r="A20" s="7" t="n">
        <v>16</v>
      </c>
      <c r="B20" s="7" t="inlineStr">
        <is>
          <t>Boss shield</t>
        </is>
      </c>
      <c r="C20" s="8" t="inlineStr">
        <is>
          <t>Shield 1000 must be broken to damage the 4000 HP, and it fully regenerates every time the boss leaves a wall; boss HP does not regenerate.</t>
        </is>
      </c>
      <c r="D20" s="8" t="inlineStr">
        <is>
          <t>Time-to-kill depends on damage within one ~5 s wall-stick window (see TTK Matrix).</t>
        </is>
      </c>
      <c r="E20" s="8" t="inlineStr">
        <is>
          <t>BossEnemy.cs</t>
        </is>
      </c>
    </row>
    <row r="21">
      <c r="A21" s="7" t="n">
        <v>17</v>
      </c>
      <c r="B21" s="7" t="inlineStr">
        <is>
          <t>GDD accuracy</t>
        </is>
      </c>
      <c r="C21" s="8" t="inlineStr">
        <is>
          <t>The earlier 1BitVed.md GDD was written from file names and the refactor plan without reading gameplay scripts. Its health, weapons (Pistol/Whip), relic effects, cooldowns and 'scaling unimplemented' claims are wrong or invented.</t>
        </is>
      </c>
      <c r="D21" s="8" t="inlineStr">
        <is>
          <t>Use THIS workbook as the source of numbers; 1BitVed.md needs a correction pass before any public use.</t>
        </is>
      </c>
      <c r="E21" s="8" t="inlineStr">
        <is>
          <t>1BitVed.md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4" customWidth="1" min="1" max="1"/>
    <col width="26" customWidth="1" min="2" max="2"/>
    <col width="26" customWidth="1" min="3" max="3"/>
    <col width="34" customWidth="1" min="4" max="4"/>
    <col width="60" customWidth="1" min="5" max="5"/>
  </cols>
  <sheetData>
    <row r="1">
      <c r="A1" s="1" t="inlineStr">
        <is>
          <t>Raw serialized values (balance-relevant components)</t>
        </is>
      </c>
    </row>
    <row r="2">
      <c r="A2" s="2" t="inlineStr">
        <is>
          <t>Long format: one row per field. Colours, sprites, sorting, audio, gizmo/debug and visual-only components are excluded. Use the filter.</t>
        </is>
      </c>
    </row>
    <row r="4">
      <c r="A4" s="6" t="inlineStr">
        <is>
          <t>File</t>
        </is>
      </c>
      <c r="B4" s="6" t="inlineStr">
        <is>
          <t>GameObject</t>
        </is>
      </c>
      <c r="C4" s="6" t="inlineStr">
        <is>
          <t>Component</t>
        </is>
      </c>
      <c r="D4" s="6" t="inlineStr">
        <is>
          <t>Field</t>
        </is>
      </c>
      <c r="E4" s="6" t="inlineStr">
        <is>
          <t>Value</t>
        </is>
      </c>
    </row>
    <row r="5">
      <c r="A5" s="7" t="inlineStr">
        <is>
          <t>Assets/Prefabs/Coin.prefab</t>
        </is>
      </c>
      <c r="B5" s="7" t="inlineStr">
        <is>
          <t>Coin</t>
        </is>
      </c>
      <c r="C5" s="7" t="inlineStr">
        <is>
          <t>Coin</t>
        </is>
      </c>
      <c r="D5" s="7" t="inlineStr">
        <is>
          <t>coinValue</t>
        </is>
      </c>
      <c r="E5" s="7" t="n">
        <v>1</v>
      </c>
    </row>
    <row r="6">
      <c r="A6" s="7" t="inlineStr">
        <is>
          <t>Assets/Prefabs/Map_Generator.prefab</t>
        </is>
      </c>
      <c r="B6" s="7" t="inlineStr">
        <is>
          <t>Dungeon Spawner</t>
        </is>
      </c>
      <c r="C6" s="7" t="inlineStr">
        <is>
          <t>DungeonMapGenerator</t>
        </is>
      </c>
      <c r="D6" s="7" t="inlineStr">
        <is>
          <t>parameters</t>
        </is>
      </c>
      <c r="E6" s="7" t="inlineStr">
        <is>
          <t>{"numMainArteryRooms": 4, "mainRoomSpacing": 8, "chanceForLTurn": 0.5, "mainArteryPositionJitter": 2, "distributiveNodeChancePerSegment": 1, "minLeafNodesPerDistributive": 1, "maxLeafNodesPerDistributive": 2, "leafBranchLength": 6, "leafNodePositionJitter": 1.5, "baseStartRoomSize": {"x": 8, "y": 8}, "baseEndRoomSize": {"x": 8, "y": 8}, "baseMainArteryRoomSize": {"x": 8, "y": 6}, "baseDistributiveRoomSize": {"x": 4, "y": 4}, "baseLeafRoomSize": {"x": 12, "y": 4}, "baseCornerRoomSize": {"x": 3, "y": 3}, "roomSizeVariationPercentage": 0.465, "minRoomDistance": 4, "maxRepositionAttempts": 5, "repositionSearchRadius": 3, "corridorWidth": 2}</t>
        </is>
      </c>
    </row>
    <row r="7">
      <c r="A7" s="7" t="inlineStr">
        <is>
          <t>Assets/Prefabs/Map_Generator.prefab</t>
        </is>
      </c>
      <c r="B7" s="7" t="inlineStr">
        <is>
          <t>Dungeon Spawner</t>
        </is>
      </c>
      <c r="C7" s="7" t="inlineStr">
        <is>
          <t>DungeonMapGenerator</t>
        </is>
      </c>
      <c r="D7" s="7" t="inlineStr">
        <is>
          <t>generateOnStart</t>
        </is>
      </c>
      <c r="E7" s="7" t="n">
        <v>1</v>
      </c>
    </row>
    <row r="8">
      <c r="A8" s="7" t="inlineStr">
        <is>
          <t>Assets/Prefabs/Map_Generator.prefab</t>
        </is>
      </c>
      <c r="B8" s="7" t="inlineStr">
        <is>
          <t>Dungeon Spawner</t>
        </is>
      </c>
      <c r="C8" s="7" t="inlineStr">
        <is>
          <t>DungeonMapGenerator</t>
        </is>
      </c>
      <c r="D8" s="7" t="inlineStr">
        <is>
          <t>showRoomIds</t>
        </is>
      </c>
      <c r="E8" s="7" t="n">
        <v>1</v>
      </c>
    </row>
    <row r="9">
      <c r="A9" s="7" t="inlineStr">
        <is>
          <t>Assets/Prefabs/Map_Generator.prefab</t>
        </is>
      </c>
      <c r="B9" s="7" t="inlineStr">
        <is>
          <t>Dungeon Spawner</t>
        </is>
      </c>
      <c r="C9" s="7" t="inlineStr">
        <is>
          <t>DungeonMapGenerator</t>
        </is>
      </c>
      <c r="D9" s="7" t="inlineStr">
        <is>
          <t>teleporterPrefab</t>
        </is>
      </c>
      <c r="E9" s="7" t="inlineStr">
        <is>
          <t>-&gt;Teleporter</t>
        </is>
      </c>
    </row>
    <row r="10">
      <c r="A10" s="7" t="inlineStr">
        <is>
          <t>Assets/Prefabs/Map_Generator.prefab</t>
        </is>
      </c>
      <c r="B10" s="7" t="inlineStr">
        <is>
          <t>Dungeon Spawner</t>
        </is>
      </c>
      <c r="C10" s="7" t="inlineStr">
        <is>
          <t>DungeonMapGenerator</t>
        </is>
      </c>
      <c r="D10" s="7" t="inlineStr">
        <is>
          <t>enemySpawnerPrefab</t>
        </is>
      </c>
      <c r="E10" s="7" t="inlineStr">
        <is>
          <t>-&gt;Enemy Spawner</t>
        </is>
      </c>
    </row>
    <row r="11">
      <c r="A11" s="7" t="inlineStr">
        <is>
          <t>Assets/Prefabs/Map_Generator.prefab</t>
        </is>
      </c>
      <c r="B11" s="7" t="inlineStr">
        <is>
          <t>Dungeon Spawner</t>
        </is>
      </c>
      <c r="C11" s="7" t="inlineStr">
        <is>
          <t>DungeonMapGenerator</t>
        </is>
      </c>
      <c r="D11" s="7" t="inlineStr">
        <is>
          <t>spawnEnemySpawnersInMainRooms</t>
        </is>
      </c>
      <c r="E11" s="7" t="n">
        <v>1</v>
      </c>
    </row>
    <row r="12">
      <c r="A12" s="7" t="inlineStr">
        <is>
          <t>Assets/Prefabs/Map_Generator.prefab</t>
        </is>
      </c>
      <c r="B12" s="7" t="inlineStr">
        <is>
          <t>Dungeon Spawner</t>
        </is>
      </c>
      <c r="C12" s="7" t="inlineStr">
        <is>
          <t>DungeonMapGenerator</t>
        </is>
      </c>
      <c r="D12" s="7" t="inlineStr">
        <is>
          <t>spawnerOffsetFromCenter</t>
        </is>
      </c>
      <c r="E12" s="7" t="n">
        <v>0</v>
      </c>
    </row>
    <row r="13">
      <c r="A13" s="7" t="inlineStr">
        <is>
          <t>Assets/Prefabs/Map_Generator.prefab</t>
        </is>
      </c>
      <c r="B13" s="7" t="inlineStr">
        <is>
          <t>Dungeon Spawner</t>
        </is>
      </c>
      <c r="C13" s="7" t="inlineStr">
        <is>
          <t>DungeonMapGenerator</t>
        </is>
      </c>
      <c r="D13" s="7" t="inlineStr">
        <is>
          <t>keyPrefab</t>
        </is>
      </c>
      <c r="E13" s="7" t="inlineStr">
        <is>
          <t>-&gt;Key</t>
        </is>
      </c>
    </row>
    <row r="14">
      <c r="A14" s="7" t="inlineStr">
        <is>
          <t>Assets/Prefabs/Map_Generator.prefab</t>
        </is>
      </c>
      <c r="B14" s="7" t="inlineStr">
        <is>
          <t>Dungeon Spawner</t>
        </is>
      </c>
      <c r="C14" s="7" t="inlineStr">
        <is>
          <t>DungeonMapGenerator</t>
        </is>
      </c>
      <c r="D14" s="7" t="inlineStr">
        <is>
          <t>hasKeyBeenSpawned</t>
        </is>
      </c>
      <c r="E14" s="7" t="n">
        <v>0</v>
      </c>
    </row>
    <row r="15">
      <c r="A15" s="7" t="inlineStr">
        <is>
          <t>Assets/Prefabs/Teleporter.prefab</t>
        </is>
      </c>
      <c r="B15" s="7" t="inlineStr">
        <is>
          <t>Teleporter</t>
        </is>
      </c>
      <c r="C15" s="7" t="inlineStr">
        <is>
          <t>Teleporter</t>
        </is>
      </c>
      <c r="D15" s="7" t="inlineStr">
        <is>
          <t>activationRadius</t>
        </is>
      </c>
      <c r="E15" s="7" t="n">
        <v>2</v>
      </c>
    </row>
    <row r="16">
      <c r="A16" s="7" t="inlineStr">
        <is>
          <t>Assets/Prefabs/Teleporter.prefab</t>
        </is>
      </c>
      <c r="B16" s="7" t="inlineStr">
        <is>
          <t>Teleporter</t>
        </is>
      </c>
      <c r="C16" s="7" t="inlineStr">
        <is>
          <t>Teleporter</t>
        </is>
      </c>
      <c r="D16" s="7" t="inlineStr">
        <is>
          <t>teleportDelay</t>
        </is>
      </c>
      <c r="E16" s="7" t="n">
        <v>1</v>
      </c>
    </row>
    <row r="17">
      <c r="A17" s="7" t="inlineStr">
        <is>
          <t>Assets/Prefabs/Teleporter.prefab</t>
        </is>
      </c>
      <c r="B17" s="7" t="inlineStr">
        <is>
          <t>Teleporter</t>
        </is>
      </c>
      <c r="C17" s="7" t="inlineStr">
        <is>
          <t>Teleporter</t>
        </is>
      </c>
      <c r="D17" s="7" t="inlineStr">
        <is>
          <t>glowIntensity</t>
        </is>
      </c>
      <c r="E17" s="7" t="n">
        <v>1</v>
      </c>
    </row>
    <row r="18">
      <c r="A18" s="7" t="inlineStr">
        <is>
          <t>Assets/Prefabs/Teleporter.prefab</t>
        </is>
      </c>
      <c r="B18" s="7" t="inlineStr">
        <is>
          <t>Teleporter</t>
        </is>
      </c>
      <c r="C18" s="7" t="inlineStr">
        <is>
          <t>Teleporter</t>
        </is>
      </c>
      <c r="D18" s="7" t="inlineStr">
        <is>
          <t>enemyTags</t>
        </is>
      </c>
      <c r="E18" s="7" t="inlineStr">
        <is>
          <t>Enemy, EnemySpawner, Coin, Relic</t>
        </is>
      </c>
    </row>
    <row r="19">
      <c r="A19" s="7" t="inlineStr">
        <is>
          <t>Assets/Prefabs/Teleporter.prefab</t>
        </is>
      </c>
      <c r="B19" s="7" t="inlineStr">
        <is>
          <t>Teleporter</t>
        </is>
      </c>
      <c r="C19" s="7" t="inlineStr">
        <is>
          <t>Teleporter</t>
        </is>
      </c>
      <c r="D19" s="7" t="inlineStr">
        <is>
          <t>requiresKey</t>
        </is>
      </c>
      <c r="E19" s="7" t="n">
        <v>0</v>
      </c>
    </row>
    <row r="20">
      <c r="A20" s="7" t="inlineStr">
        <is>
          <t>Assets/Prefabs/Teleporter.prefab</t>
        </is>
      </c>
      <c r="B20" s="7" t="inlineStr">
        <is>
          <t>Teleporter</t>
        </is>
      </c>
      <c r="C20" s="7" t="inlineStr">
        <is>
          <t>Teleporter</t>
        </is>
      </c>
      <c r="D20" s="7" t="inlineStr">
        <is>
          <t>leadsToBossLevel</t>
        </is>
      </c>
      <c r="E20" s="7" t="n">
        <v>0</v>
      </c>
    </row>
    <row r="21">
      <c r="A21" s="7" t="inlineStr">
        <is>
          <t>Assets/Prefabs/Teleporter.prefab</t>
        </is>
      </c>
      <c r="B21" s="7" t="inlineStr">
        <is>
          <t>Teleporter</t>
        </is>
      </c>
      <c r="C21" s="7" t="inlineStr">
        <is>
          <t>Teleporter</t>
        </is>
      </c>
      <c r="D21" s="7" t="inlineStr">
        <is>
          <t>bossSceneName</t>
        </is>
      </c>
      <c r="E21" s="7" t="inlineStr">
        <is>
          <t>BossArena</t>
        </is>
      </c>
    </row>
    <row r="22">
      <c r="A22" s="7" t="inlineStr">
        <is>
          <t>Assets/Prefabs/Temp -Player.prefab</t>
        </is>
      </c>
      <c r="B22" s="7" t="inlineStr">
        <is>
          <t>Temp -Player</t>
        </is>
      </c>
      <c r="C22" s="7" t="inlineStr">
        <is>
          <t>PlayerStompController</t>
        </is>
      </c>
      <c r="D22" s="7" t="inlineStr">
        <is>
          <t>stompRadius</t>
        </is>
      </c>
      <c r="E22" s="7" t="n">
        <v>2.5</v>
      </c>
    </row>
    <row r="23">
      <c r="A23" s="7" t="inlineStr">
        <is>
          <t>Assets/Prefabs/Temp -Player.prefab</t>
        </is>
      </c>
      <c r="B23" s="7" t="inlineStr">
        <is>
          <t>Temp -Player</t>
        </is>
      </c>
      <c r="C23" s="7" t="inlineStr">
        <is>
          <t>PlayerStompController</t>
        </is>
      </c>
      <c r="D23" s="7" t="inlineStr">
        <is>
          <t>stompDamage</t>
        </is>
      </c>
      <c r="E23" s="7" t="n">
        <v>50</v>
      </c>
    </row>
    <row r="24">
      <c r="A24" s="7" t="inlineStr">
        <is>
          <t>Assets/Prefabs/Temp -Player.prefab</t>
        </is>
      </c>
      <c r="B24" s="7" t="inlineStr">
        <is>
          <t>Temp -Player</t>
        </is>
      </c>
      <c r="C24" s="7" t="inlineStr">
        <is>
          <t>PlayerStompController</t>
        </is>
      </c>
      <c r="D24" s="7" t="inlineStr">
        <is>
          <t>stompPushBeyondRadius</t>
        </is>
      </c>
      <c r="E24" s="7" t="n">
        <v>0.5</v>
      </c>
    </row>
    <row r="25">
      <c r="A25" s="7" t="inlineStr">
        <is>
          <t>Assets/Prefabs/Temp -Player.prefab</t>
        </is>
      </c>
      <c r="B25" s="7" t="inlineStr">
        <is>
          <t>Temp -Player</t>
        </is>
      </c>
      <c r="C25" s="7" t="inlineStr">
        <is>
          <t>PlayerStompController</t>
        </is>
      </c>
      <c r="D25" s="7" t="inlineStr">
        <is>
          <t>stompCooldown</t>
        </is>
      </c>
      <c r="E25" s="7" t="n">
        <v>2</v>
      </c>
    </row>
    <row r="26">
      <c r="A26" s="7" t="inlineStr">
        <is>
          <t>Assets/Prefabs/Temp -Player.prefab</t>
        </is>
      </c>
      <c r="B26" s="7" t="inlineStr">
        <is>
          <t>Temp -Player</t>
        </is>
      </c>
      <c r="C26" s="7" t="inlineStr">
        <is>
          <t>PlayerStompController</t>
        </is>
      </c>
      <c r="D26" s="7" t="inlineStr">
        <is>
          <t>stompCostCoins</t>
        </is>
      </c>
      <c r="E26" s="7" t="n">
        <v>0</v>
      </c>
    </row>
    <row r="27">
      <c r="A27" s="7" t="inlineStr">
        <is>
          <t>Assets/Prefabs/Temp -Player.prefab</t>
        </is>
      </c>
      <c r="B27" s="7" t="inlineStr">
        <is>
          <t>Temp -Player</t>
        </is>
      </c>
      <c r="C27" s="7" t="inlineStr">
        <is>
          <t>PlayerStompController</t>
        </is>
      </c>
      <c r="D27" s="7" t="inlineStr">
        <is>
          <t>stompCoinCost</t>
        </is>
      </c>
      <c r="E27" s="7" t="n">
        <v>10</v>
      </c>
    </row>
    <row r="28">
      <c r="A28" s="7" t="inlineStr">
        <is>
          <t>Assets/Prefabs/Temp -Player.prefab</t>
        </is>
      </c>
      <c r="B28" s="7" t="inlineStr">
        <is>
          <t>Temp -Player</t>
        </is>
      </c>
      <c r="C28" s="7" t="inlineStr">
        <is>
          <t>PlayerStompController</t>
        </is>
      </c>
      <c r="D28" s="7" t="inlineStr">
        <is>
          <t>stompScreenShakeDuration</t>
        </is>
      </c>
      <c r="E28" s="7" t="n">
        <v>0.1</v>
      </c>
    </row>
    <row r="29">
      <c r="A29" s="7" t="inlineStr">
        <is>
          <t>Assets/Prefabs/Temp -Player.prefab</t>
        </is>
      </c>
      <c r="B29" s="7" t="inlineStr">
        <is>
          <t>Temp -Player</t>
        </is>
      </c>
      <c r="C29" s="7" t="inlineStr">
        <is>
          <t>PlayerStompController</t>
        </is>
      </c>
      <c r="D29" s="7" t="inlineStr">
        <is>
          <t>stompScreenShakeAmp</t>
        </is>
      </c>
      <c r="E29" s="7" t="n">
        <v>12</v>
      </c>
    </row>
    <row r="30">
      <c r="A30" s="7" t="inlineStr">
        <is>
          <t>Assets/Prefabs/Temp -Player.prefab</t>
        </is>
      </c>
      <c r="B30" s="7" t="inlineStr">
        <is>
          <t>Temp -Player</t>
        </is>
      </c>
      <c r="C30" s="7" t="inlineStr">
        <is>
          <t>PlayerStompController</t>
        </is>
      </c>
      <c r="D30" s="7" t="inlineStr">
        <is>
          <t>stompBulletSpeed</t>
        </is>
      </c>
      <c r="E30" s="7" t="n">
        <v>12</v>
      </c>
    </row>
    <row r="31">
      <c r="A31" s="7" t="inlineStr">
        <is>
          <t>Assets/Prefabs/Temp -Player.prefab</t>
        </is>
      </c>
      <c r="B31" s="7" t="inlineStr">
        <is>
          <t>Temp -Player</t>
        </is>
      </c>
      <c r="C31" s="7" t="inlineStr">
        <is>
          <t>PlayerStompController</t>
        </is>
      </c>
      <c r="D31" s="7" t="inlineStr">
        <is>
          <t>stompBulletLifetime</t>
        </is>
      </c>
      <c r="E31" s="7" t="n">
        <v>2</v>
      </c>
    </row>
    <row r="32">
      <c r="A32" s="7" t="inlineStr">
        <is>
          <t>Assets/Prefabs/Temp -Player.prefab</t>
        </is>
      </c>
      <c r="B32" s="7" t="inlineStr">
        <is>
          <t>Temp -Player</t>
        </is>
      </c>
      <c r="C32" s="7" t="inlineStr">
        <is>
          <t>PlayerController</t>
        </is>
      </c>
      <c r="D32" s="7" t="inlineStr">
        <is>
          <t>baseMoveSpeed</t>
        </is>
      </c>
      <c r="E32" s="7" t="n">
        <v>4</v>
      </c>
    </row>
    <row r="33">
      <c r="A33" s="7" t="inlineStr">
        <is>
          <t>Assets/Prefabs/Temp -Player.prefab</t>
        </is>
      </c>
      <c r="B33" s="7" t="inlineStr">
        <is>
          <t>Temp -Player</t>
        </is>
      </c>
      <c r="C33" s="7" t="inlineStr">
        <is>
          <t>PlayerController</t>
        </is>
      </c>
      <c r="D33" s="7" t="inlineStr">
        <is>
          <t>dashSpeed</t>
        </is>
      </c>
      <c r="E33" s="7" t="n">
        <v>20</v>
      </c>
    </row>
    <row r="34">
      <c r="A34" s="7" t="inlineStr">
        <is>
          <t>Assets/Prefabs/Temp -Player.prefab</t>
        </is>
      </c>
      <c r="B34" s="7" t="inlineStr">
        <is>
          <t>Temp -Player</t>
        </is>
      </c>
      <c r="C34" s="7" t="inlineStr">
        <is>
          <t>PlayerController</t>
        </is>
      </c>
      <c r="D34" s="7" t="inlineStr">
        <is>
          <t>dashDuration</t>
        </is>
      </c>
      <c r="E34" s="7" t="n">
        <v>0.2</v>
      </c>
    </row>
    <row r="35">
      <c r="A35" s="7" t="inlineStr">
        <is>
          <t>Assets/Prefabs/Temp -Player.prefab</t>
        </is>
      </c>
      <c r="B35" s="7" t="inlineStr">
        <is>
          <t>Temp -Player</t>
        </is>
      </c>
      <c r="C35" s="7" t="inlineStr">
        <is>
          <t>PlayerController</t>
        </is>
      </c>
      <c r="D35" s="7" t="inlineStr">
        <is>
          <t>dashCooldown</t>
        </is>
      </c>
      <c r="E35" s="7" t="n">
        <v>3</v>
      </c>
    </row>
    <row r="36">
      <c r="A36" s="7" t="inlineStr">
        <is>
          <t>Assets/Prefabs/Temp -Player.prefab</t>
        </is>
      </c>
      <c r="B36" s="7" t="inlineStr">
        <is>
          <t>Temp -Player</t>
        </is>
      </c>
      <c r="C36" s="7" t="inlineStr">
        <is>
          <t>PlayerController</t>
        </is>
      </c>
      <c r="D36" s="7" t="inlineStr">
        <is>
          <t>invulnerableDuringDash</t>
        </is>
      </c>
      <c r="E36" s="7" t="n">
        <v>1</v>
      </c>
    </row>
    <row r="37">
      <c r="A37" s="7" t="inlineStr">
        <is>
          <t>Assets/Prefabs/Temp -Player.prefab</t>
        </is>
      </c>
      <c r="B37" s="7" t="inlineStr">
        <is>
          <t>Temp -Player</t>
        </is>
      </c>
      <c r="C37" s="7" t="inlineStr">
        <is>
          <t>PlayerController</t>
        </is>
      </c>
      <c r="D37" s="7" t="inlineStr">
        <is>
          <t>deflectDetectionRadius</t>
        </is>
      </c>
      <c r="E37" s="7" t="n">
        <v>1.2</v>
      </c>
    </row>
    <row r="38">
      <c r="A38" s="7" t="inlineStr">
        <is>
          <t>Assets/Prefabs/Temp -Player.prefab</t>
        </is>
      </c>
      <c r="B38" s="7" t="inlineStr">
        <is>
          <t>Temp -Player</t>
        </is>
      </c>
      <c r="C38" s="7" t="inlineStr">
        <is>
          <t>PlayerController</t>
        </is>
      </c>
      <c r="D38" s="7" t="inlineStr">
        <is>
          <t>dashPassthroughRadius</t>
        </is>
      </c>
      <c r="E38" s="7" t="n">
        <v>1</v>
      </c>
    </row>
    <row r="39">
      <c r="A39" s="7" t="inlineStr">
        <is>
          <t>Assets/Prefabs/Temp -Player.prefab</t>
        </is>
      </c>
      <c r="B39" s="7" t="inlineStr">
        <is>
          <t>Temp -Player</t>
        </is>
      </c>
      <c r="C39" s="7" t="inlineStr">
        <is>
          <t>PlayerController</t>
        </is>
      </c>
      <c r="D39" s="7" t="inlineStr">
        <is>
          <t>dashEndClearRadius</t>
        </is>
      </c>
      <c r="E39" s="7" t="n">
        <v>1</v>
      </c>
    </row>
    <row r="40">
      <c r="A40" s="7" t="inlineStr">
        <is>
          <t>Assets/Prefabs/Temp -Player.prefab</t>
        </is>
      </c>
      <c r="B40" s="7" t="inlineStr">
        <is>
          <t>Temp -Player</t>
        </is>
      </c>
      <c r="C40" s="7" t="inlineStr">
        <is>
          <t>PlayerController</t>
        </is>
      </c>
      <c r="D40" s="7" t="inlineStr">
        <is>
          <t>knockbackDecay</t>
        </is>
      </c>
      <c r="E40" s="7" t="n">
        <v>8</v>
      </c>
    </row>
    <row r="41">
      <c r="A41" s="7" t="inlineStr">
        <is>
          <t>Assets/Prefabs/Temp -Player.prefab</t>
        </is>
      </c>
      <c r="B41" s="7" t="inlineStr">
        <is>
          <t>Temp -Player</t>
        </is>
      </c>
      <c r="C41" s="7" t="inlineStr">
        <is>
          <t>PlayerController</t>
        </is>
      </c>
      <c r="D41" s="7" t="inlineStr">
        <is>
          <t>pushRadius</t>
        </is>
      </c>
      <c r="E41" s="7" t="n">
        <v>0.25</v>
      </c>
    </row>
    <row r="42">
      <c r="A42" s="7" t="inlineStr">
        <is>
          <t>Assets/Prefabs/Temp -Player.prefab</t>
        </is>
      </c>
      <c r="B42" s="7" t="inlineStr">
        <is>
          <t>Temp -Player</t>
        </is>
      </c>
      <c r="C42" s="7" t="inlineStr">
        <is>
          <t>PlayerController</t>
        </is>
      </c>
      <c r="D42" s="7" t="inlineStr">
        <is>
          <t>pushStr</t>
        </is>
      </c>
      <c r="E42" s="7" t="n">
        <v>5</v>
      </c>
    </row>
    <row r="43">
      <c r="A43" s="7" t="inlineStr">
        <is>
          <t>Assets/Prefabs/Temp -Player.prefab</t>
        </is>
      </c>
      <c r="B43" s="7" t="inlineStr">
        <is>
          <t>Temp -Player</t>
        </is>
      </c>
      <c r="C43" s="7" t="inlineStr">
        <is>
          <t>PlayerController</t>
        </is>
      </c>
      <c r="D43" s="7" t="inlineStr">
        <is>
          <t>wallCheckDistance</t>
        </is>
      </c>
      <c r="E43" s="7" t="n">
        <v>0.5</v>
      </c>
    </row>
    <row r="44">
      <c r="A44" s="7" t="inlineStr">
        <is>
          <t>Assets/Prefabs/Temp -Player.prefab</t>
        </is>
      </c>
      <c r="B44" s="7" t="inlineStr">
        <is>
          <t>Temp -Player</t>
        </is>
      </c>
      <c r="C44" s="7" t="inlineStr">
        <is>
          <t>PlayerConeShooter</t>
        </is>
      </c>
      <c r="D44" s="7" t="inlineStr">
        <is>
          <t>bulletSpeed</t>
        </is>
      </c>
      <c r="E44" s="7" t="n">
        <v>100</v>
      </c>
    </row>
    <row r="45">
      <c r="A45" s="7" t="inlineStr">
        <is>
          <t>Assets/Prefabs/Temp -Player.prefab</t>
        </is>
      </c>
      <c r="B45" s="7" t="inlineStr">
        <is>
          <t>Temp -Player</t>
        </is>
      </c>
      <c r="C45" s="7" t="inlineStr">
        <is>
          <t>PlayerConeShooter</t>
        </is>
      </c>
      <c r="D45" s="7" t="inlineStr">
        <is>
          <t>enableConeEdgeVisual</t>
        </is>
      </c>
      <c r="E45" s="7" t="n">
        <v>0</v>
      </c>
    </row>
    <row r="46">
      <c r="A46" s="7" t="inlineStr">
        <is>
          <t>Assets/Prefabs/Temp -Player.prefab</t>
        </is>
      </c>
      <c r="B46" s="7" t="inlineStr">
        <is>
          <t>Temp -Player</t>
        </is>
      </c>
      <c r="C46" s="7" t="inlineStr">
        <is>
          <t>PlayerConeShooter</t>
        </is>
      </c>
      <c r="D46" s="7" t="inlineStr">
        <is>
          <t>edgeLineWidth</t>
        </is>
      </c>
      <c r="E46" s="7" t="n">
        <v>0.05</v>
      </c>
    </row>
    <row r="47">
      <c r="A47" s="7" t="inlineStr">
        <is>
          <t>Assets/Prefabs/Temp -Player.prefab</t>
        </is>
      </c>
      <c r="B47" s="7" t="inlineStr">
        <is>
          <t>Temp -Player</t>
        </is>
      </c>
      <c r="C47" s="7" t="inlineStr">
        <is>
          <t>PlayerConeShooter</t>
        </is>
      </c>
      <c r="D47" s="7" t="inlineStr">
        <is>
          <t>coneFlashDuration</t>
        </is>
      </c>
      <c r="E47" s="7" t="n">
        <v>0.05</v>
      </c>
    </row>
    <row r="48">
      <c r="A48" s="7" t="inlineStr">
        <is>
          <t>Assets/Prefabs/Temp -Player.prefab</t>
        </is>
      </c>
      <c r="B48" s="7" t="inlineStr">
        <is>
          <t>Temp -Player</t>
        </is>
      </c>
      <c r="C48" s="7" t="inlineStr">
        <is>
          <t>PlayerConeShooter</t>
        </is>
      </c>
      <c r="D48" s="7" t="inlineStr">
        <is>
          <t>aimDeadZone</t>
        </is>
      </c>
      <c r="E48" s="7" t="n">
        <v>0</v>
      </c>
    </row>
    <row r="49">
      <c r="A49" s="7" t="inlineStr">
        <is>
          <t>Assets/Prefabs/Temp -Player.prefab</t>
        </is>
      </c>
      <c r="B49" s="7" t="inlineStr">
        <is>
          <t>Temp -Player</t>
        </is>
      </c>
      <c r="C49" s="7" t="inlineStr">
        <is>
          <t>PlayerConeShooter</t>
        </is>
      </c>
      <c r="D49" s="7" t="inlineStr">
        <is>
          <t>maxBounceChainRange</t>
        </is>
      </c>
      <c r="E49" s="7" t="n">
        <v>15</v>
      </c>
    </row>
    <row r="50">
      <c r="A50" s="7" t="inlineStr">
        <is>
          <t>Assets/Prefabs/Temp -Player.prefab</t>
        </is>
      </c>
      <c r="B50" s="7" t="inlineStr">
        <is>
          <t>Temp -Player</t>
        </is>
      </c>
      <c r="C50" s="7" t="inlineStr">
        <is>
          <t>WeaponAmmoManager</t>
        </is>
      </c>
      <c r="D50" s="7" t="inlineStr">
        <is>
          <t>currentAmmoInMagazine</t>
        </is>
      </c>
      <c r="E50" s="7" t="n">
        <v>0</v>
      </c>
    </row>
    <row r="51">
      <c r="A51" s="7" t="inlineStr">
        <is>
          <t>Assets/Prefabs/Temp -Player.prefab</t>
        </is>
      </c>
      <c r="B51" s="7" t="inlineStr">
        <is>
          <t>Temp -Player</t>
        </is>
      </c>
      <c r="C51" s="7" t="inlineStr">
        <is>
          <t>WeaponAmmoManager</t>
        </is>
      </c>
      <c r="D51" s="7" t="inlineStr">
        <is>
          <t>isReloading</t>
        </is>
      </c>
      <c r="E51" s="7" t="n">
        <v>0</v>
      </c>
    </row>
    <row r="52">
      <c r="A52" s="7" t="inlineStr">
        <is>
          <t>Assets/Prefabs/Temp -Player.prefab</t>
        </is>
      </c>
      <c r="B52" s="7" t="inlineStr">
        <is>
          <t>Temp -Player</t>
        </is>
      </c>
      <c r="C52" s="7" t="inlineStr">
        <is>
          <t>SimplePlayerRotation</t>
        </is>
      </c>
      <c r="D52" s="7" t="inlineStr">
        <is>
          <t>gamePlayPlaneZ</t>
        </is>
      </c>
      <c r="E52" s="7" t="n">
        <v>0</v>
      </c>
    </row>
    <row r="53">
      <c r="A53" s="7" t="inlineStr">
        <is>
          <t>Assets/Prefabs/Temp -Player.prefab</t>
        </is>
      </c>
      <c r="B53" s="7" t="inlineStr">
        <is>
          <t>Temp -Player</t>
        </is>
      </c>
      <c r="C53" s="7" t="inlineStr">
        <is>
          <t>SimplePlayerRotation</t>
        </is>
      </c>
      <c r="D53" s="7" t="inlineStr">
        <is>
          <t>rotationSpeed</t>
        </is>
      </c>
      <c r="E53" s="7" t="n">
        <v>720</v>
      </c>
    </row>
    <row r="54">
      <c r="A54" s="7" t="inlineStr">
        <is>
          <t>Assets/Prefabs/Temp -Player.prefab</t>
        </is>
      </c>
      <c r="B54" s="7" t="inlineStr">
        <is>
          <t>Temp -Player</t>
        </is>
      </c>
      <c r="C54" s="7" t="inlineStr">
        <is>
          <t>SimplePlayerRotation</t>
        </is>
      </c>
      <c r="D54" s="7" t="inlineStr">
        <is>
          <t>minRotationDistance</t>
        </is>
      </c>
      <c r="E54" s="7" t="n">
        <v>0.01</v>
      </c>
    </row>
    <row r="55">
      <c r="A55" s="7" t="inlineStr">
        <is>
          <t>Assets/Prefabs/Temp -Player.prefab</t>
        </is>
      </c>
      <c r="B55" s="7" t="inlineStr">
        <is>
          <t>Temp -Player</t>
        </is>
      </c>
      <c r="C55" s="7" t="inlineStr">
        <is>
          <t>ActivateEnemies</t>
        </is>
      </c>
      <c r="D55" s="7" t="inlineStr">
        <is>
          <t>activationRadius</t>
        </is>
      </c>
      <c r="E55" s="7" t="n">
        <v>10</v>
      </c>
    </row>
    <row r="56">
      <c r="A56" s="7" t="inlineStr">
        <is>
          <t>Assets/Prefabs/Temp -Player.prefab</t>
        </is>
      </c>
      <c r="B56" s="7" t="inlineStr">
        <is>
          <t>Temp -Player</t>
        </is>
      </c>
      <c r="C56" s="7" t="inlineStr">
        <is>
          <t>ActivateEnemies</t>
        </is>
      </c>
      <c r="D56" s="7" t="inlineStr">
        <is>
          <t>checkInterval</t>
        </is>
      </c>
      <c r="E56" s="7" t="n">
        <v>0.1</v>
      </c>
    </row>
    <row r="57">
      <c r="A57" s="7" t="inlineStr">
        <is>
          <t>Assets/Prefabs/Temp -Player.prefab</t>
        </is>
      </c>
      <c r="B57" s="7" t="inlineStr">
        <is>
          <t>Temp -Player</t>
        </is>
      </c>
      <c r="C57" s="7" t="inlineStr">
        <is>
          <t>ActivateEnemies</t>
        </is>
      </c>
      <c r="D57" s="7" t="inlineStr">
        <is>
          <t>maxActiveEnemies</t>
        </is>
      </c>
      <c r="E57" s="7" t="n">
        <v>30</v>
      </c>
    </row>
    <row r="58">
      <c r="A58" s="7" t="inlineStr">
        <is>
          <t>Assets/Prefabs/Temp -Player.prefab</t>
        </is>
      </c>
      <c r="B58" s="7" t="inlineStr">
        <is>
          <t>Temp -Player</t>
        </is>
      </c>
      <c r="C58" s="7" t="inlineStr">
        <is>
          <t>PlayerKeyManagement</t>
        </is>
      </c>
      <c r="D58" s="7" t="inlineStr">
        <is>
          <t>hasKey</t>
        </is>
      </c>
      <c r="E58" s="7" t="n">
        <v>1</v>
      </c>
    </row>
    <row r="59">
      <c r="A59" s="7" t="inlineStr">
        <is>
          <t>Assets/Prefabs/Temp -Player.prefab</t>
        </is>
      </c>
      <c r="B59" s="7" t="inlineStr">
        <is>
          <t>Temp -Player</t>
        </is>
      </c>
      <c r="C59" s="7" t="inlineStr">
        <is>
          <t>PlayerKeyManagement</t>
        </is>
      </c>
      <c r="D59" s="7" t="inlineStr">
        <is>
          <t>keyTag</t>
        </is>
      </c>
      <c r="E59" s="7" t="inlineStr">
        <is>
          <t>Key</t>
        </is>
      </c>
    </row>
    <row r="60">
      <c r="A60" s="7" t="inlineStr">
        <is>
          <t>Assets/Prefabs/Temp -Player.prefab</t>
        </is>
      </c>
      <c r="B60" s="7" t="inlineStr">
        <is>
          <t>Temp -Player</t>
        </is>
      </c>
      <c r="C60" s="7" t="inlineStr">
        <is>
          <t>PlayerKeyManagement</t>
        </is>
      </c>
      <c r="D60" s="7" t="inlineStr">
        <is>
          <t>teleporterTag</t>
        </is>
      </c>
      <c r="E60" s="7" t="inlineStr">
        <is>
          <t>Teleporter</t>
        </is>
      </c>
    </row>
    <row r="61">
      <c r="A61" s="7" t="inlineStr">
        <is>
          <t>Assets/Prefabs/Temp -Player.prefab</t>
        </is>
      </c>
      <c r="B61" s="7" t="inlineStr">
        <is>
          <t>Temp -Player</t>
        </is>
      </c>
      <c r="C61" s="7" t="inlineStr">
        <is>
          <t>PlayerHealth</t>
        </is>
      </c>
      <c r="D61" s="7" t="inlineStr">
        <is>
          <t>coinsLostPerHit</t>
        </is>
      </c>
      <c r="E61" s="7" t="n">
        <v>30</v>
      </c>
    </row>
    <row r="62">
      <c r="A62" s="7" t="inlineStr">
        <is>
          <t>Assets/Prefabs/Temp -Player.prefab</t>
        </is>
      </c>
      <c r="B62" s="7" t="inlineStr">
        <is>
          <t>Temp -Player</t>
        </is>
      </c>
      <c r="C62" s="7" t="inlineStr">
        <is>
          <t>PlayerHealth</t>
        </is>
      </c>
      <c r="D62" s="7" t="inlineStr">
        <is>
          <t>useCoinsAsHealth</t>
        </is>
      </c>
      <c r="E62" s="7" t="n">
        <v>1</v>
      </c>
    </row>
    <row r="63">
      <c r="A63" s="7" t="inlineStr">
        <is>
          <t>Assets/Prefabs/Temp -Player.prefab</t>
        </is>
      </c>
      <c r="B63" s="7" t="inlineStr">
        <is>
          <t>Temp -Player</t>
        </is>
      </c>
      <c r="C63" s="7" t="inlineStr">
        <is>
          <t>PlayerHealth</t>
        </is>
      </c>
      <c r="D63" s="7" t="inlineStr">
        <is>
          <t>coinPrefab</t>
        </is>
      </c>
      <c r="E63" s="7" t="inlineStr">
        <is>
          <t>-&gt;Coin</t>
        </is>
      </c>
    </row>
    <row r="64">
      <c r="A64" s="7" t="inlineStr">
        <is>
          <t>Assets/Prefabs/Temp -Player.prefab</t>
        </is>
      </c>
      <c r="B64" s="7" t="inlineStr">
        <is>
          <t>Temp -Player</t>
        </is>
      </c>
      <c r="C64" s="7" t="inlineStr">
        <is>
          <t>PlayerHealth</t>
        </is>
      </c>
      <c r="D64" s="7" t="inlineStr">
        <is>
          <t>coinsToSpawnOnDamage</t>
        </is>
      </c>
      <c r="E64" s="7" t="n">
        <v>15</v>
      </c>
    </row>
    <row r="65">
      <c r="A65" s="7" t="inlineStr">
        <is>
          <t>Assets/Prefabs/Temp -Player.prefab</t>
        </is>
      </c>
      <c r="B65" s="7" t="inlineStr">
        <is>
          <t>Temp -Player</t>
        </is>
      </c>
      <c r="C65" s="7" t="inlineStr">
        <is>
          <t>PlayerHealth</t>
        </is>
      </c>
      <c r="D65" s="7" t="inlineStr">
        <is>
          <t>coinSpawnRadius</t>
        </is>
      </c>
      <c r="E65" s="7" t="n">
        <v>1</v>
      </c>
    </row>
    <row r="66">
      <c r="A66" s="7" t="inlineStr">
        <is>
          <t>Assets/Prefabs/Temp -Player.prefab</t>
        </is>
      </c>
      <c r="B66" s="7" t="inlineStr">
        <is>
          <t>Temp -Player</t>
        </is>
      </c>
      <c r="C66" s="7" t="inlineStr">
        <is>
          <t>PlayerHealth</t>
        </is>
      </c>
      <c r="D66" s="7" t="inlineStr">
        <is>
          <t>coinSpawnForce</t>
        </is>
      </c>
      <c r="E66" s="7" t="n">
        <v>3</v>
      </c>
    </row>
    <row r="67">
      <c r="A67" s="7" t="inlineStr">
        <is>
          <t>Assets/Prefabs/Temp -Player.prefab</t>
        </is>
      </c>
      <c r="B67" s="7" t="inlineStr">
        <is>
          <t>Temp -Player</t>
        </is>
      </c>
      <c r="C67" s="7" t="inlineStr">
        <is>
          <t>PlayerHealth</t>
        </is>
      </c>
      <c r="D67" s="7" t="inlineStr">
        <is>
          <t>coinLifetime</t>
        </is>
      </c>
      <c r="E67" s="7" t="n">
        <v>3</v>
      </c>
    </row>
    <row r="68">
      <c r="A68" s="7" t="inlineStr">
        <is>
          <t>Assets/Prefabs/Temp -Player.prefab</t>
        </is>
      </c>
      <c r="B68" s="7" t="inlineStr">
        <is>
          <t>Temp -Player</t>
        </is>
      </c>
      <c r="C68" s="7" t="inlineStr">
        <is>
          <t>PlayerHealth</t>
        </is>
      </c>
      <c r="D68" s="7" t="inlineStr">
        <is>
          <t>damageCooldown</t>
        </is>
      </c>
      <c r="E68" s="7" t="n">
        <v>1</v>
      </c>
    </row>
    <row r="69">
      <c r="A69" s="7" t="inlineStr">
        <is>
          <t>Assets/Prefabs/Temp -Player.prefab</t>
        </is>
      </c>
      <c r="B69" s="7" t="inlineStr">
        <is>
          <t>Temp -Player</t>
        </is>
      </c>
      <c r="C69" s="7" t="inlineStr">
        <is>
          <t>PlayerHealth</t>
        </is>
      </c>
      <c r="D69" s="7" t="inlineStr">
        <is>
          <t>flashSpeed</t>
        </is>
      </c>
      <c r="E69" s="7" t="n">
        <v>0.1</v>
      </c>
    </row>
    <row r="70">
      <c r="A70" s="7" t="inlineStr">
        <is>
          <t>Assets/Prefabs/Temp -Player.prefab</t>
        </is>
      </c>
      <c r="B70" s="7" t="inlineStr">
        <is>
          <t>Temp -Player</t>
        </is>
      </c>
      <c r="C70" s="7" t="inlineStr">
        <is>
          <t>PlayerHealth</t>
        </is>
      </c>
      <c r="D70" s="7" t="inlineStr">
        <is>
          <t>flashDuration</t>
        </is>
      </c>
      <c r="E70" s="7" t="n">
        <v>1</v>
      </c>
    </row>
    <row r="71">
      <c r="A71" s="7" t="inlineStr">
        <is>
          <t>Assets/Prefabs/Temp -Player.prefab</t>
        </is>
      </c>
      <c r="B71" s="7" t="inlineStr">
        <is>
          <t>Temp -Player</t>
        </is>
      </c>
      <c r="C71" s="7" t="inlineStr">
        <is>
          <t>PlayerHealth</t>
        </is>
      </c>
      <c r="D71" s="7" t="inlineStr">
        <is>
          <t>knockbackForce</t>
        </is>
      </c>
      <c r="E71" s="7" t="n">
        <v>8</v>
      </c>
    </row>
    <row r="72">
      <c r="A72" s="7" t="inlineStr">
        <is>
          <t>Assets/Prefabs/Temp -Player.prefab</t>
        </is>
      </c>
      <c r="B72" s="7" t="inlineStr">
        <is>
          <t>Temp -Player</t>
        </is>
      </c>
      <c r="C72" s="7" t="inlineStr">
        <is>
          <t>PlayerHealth</t>
        </is>
      </c>
      <c r="D72" s="7" t="inlineStr">
        <is>
          <t>knockbackDuration</t>
        </is>
      </c>
      <c r="E72" s="7" t="n">
        <v>0.8</v>
      </c>
    </row>
    <row r="73">
      <c r="A73" s="7" t="inlineStr">
        <is>
          <t>Assets/Prefabs/Temp -Player.prefab</t>
        </is>
      </c>
      <c r="B73" s="7" t="inlineStr">
        <is>
          <t>Temp -Player</t>
        </is>
      </c>
      <c r="C73" s="7" t="inlineStr">
        <is>
          <t>PlayerHealth</t>
        </is>
      </c>
      <c r="D73" s="7" t="inlineStr">
        <is>
          <t>invincible</t>
        </is>
      </c>
      <c r="E73" s="7" t="n">
        <v>0</v>
      </c>
    </row>
    <row r="74">
      <c r="A74" s="7" t="inlineStr">
        <is>
          <t>Assets/Prefabs/Temp -Player.prefab</t>
        </is>
      </c>
      <c r="B74" s="7" t="inlineStr">
        <is>
          <t>Temp -Player</t>
        </is>
      </c>
      <c r="C74" s="7" t="inlineStr">
        <is>
          <t>PlayerHealth</t>
        </is>
      </c>
      <c r="D74" s="7" t="inlineStr">
        <is>
          <t>invincibilityToggleKey</t>
        </is>
      </c>
      <c r="E74" s="7" t="n">
        <v>105</v>
      </c>
    </row>
    <row r="75">
      <c r="A75" s="7" t="inlineStr">
        <is>
          <t>Assets/Prefabs/Temp -Player.prefab</t>
        </is>
      </c>
      <c r="B75" s="7" t="inlineStr">
        <is>
          <t>Temp -Player</t>
        </is>
      </c>
      <c r="C75" s="7" t="inlineStr">
        <is>
          <t>PlayerHealth</t>
        </is>
      </c>
      <c r="D75" s="7" t="inlineStr">
        <is>
          <t>enableToggleInBuild</t>
        </is>
      </c>
      <c r="E75" s="7" t="n">
        <v>1</v>
      </c>
    </row>
    <row r="76">
      <c r="A76" s="7" t="inlineStr">
        <is>
          <t>Assets/Prefabs/Temp -Player.prefab</t>
        </is>
      </c>
      <c r="B76" s="7" t="inlineStr">
        <is>
          <t>Temp -Player</t>
        </is>
      </c>
      <c r="C76" s="7" t="inlineStr">
        <is>
          <t>PlayerHealth</t>
        </is>
      </c>
      <c r="D76" s="7" t="inlineStr">
        <is>
          <t>deathDelay</t>
        </is>
      </c>
      <c r="E76" s="7" t="n">
        <v>3</v>
      </c>
    </row>
    <row r="77">
      <c r="A77" s="7" t="inlineStr">
        <is>
          <t>Assets/Prefabs/Temp -Player.prefab</t>
        </is>
      </c>
      <c r="B77" s="7" t="inlineStr">
        <is>
          <t>Temp -Player</t>
        </is>
      </c>
      <c r="C77" s="7" t="inlineStr">
        <is>
          <t>PlayerHealth</t>
        </is>
      </c>
      <c r="D77" s="7" t="inlineStr">
        <is>
          <t>hitFlashDuration</t>
        </is>
      </c>
      <c r="E77" s="7" t="n">
        <v>0.08</v>
      </c>
    </row>
    <row r="78">
      <c r="A78" s="7" t="inlineStr">
        <is>
          <t>Assets/Prefabs/Temp -Player.prefab</t>
        </is>
      </c>
      <c r="B78" s="7" t="inlineStr">
        <is>
          <t>Temp -Player</t>
        </is>
      </c>
      <c r="C78" s="7" t="inlineStr">
        <is>
          <t>RelicManager</t>
        </is>
      </c>
      <c r="D78" s="7" t="inlineStr">
        <is>
          <t>coinsForDuplicateRelic</t>
        </is>
      </c>
      <c r="E78" s="7" t="n">
        <v>50</v>
      </c>
    </row>
    <row r="79">
      <c r="A79" s="7" t="inlineStr">
        <is>
          <t>Assets/Prefabs/Temp -Player.prefab</t>
        </is>
      </c>
      <c r="B79" s="7" t="inlineStr">
        <is>
          <t>Temp -Player</t>
        </is>
      </c>
      <c r="C79" s="7" t="inlineStr">
        <is>
          <t>ActivateEnemySpawner</t>
        </is>
      </c>
      <c r="D79" s="7" t="inlineStr">
        <is>
          <t>activationRange</t>
        </is>
      </c>
      <c r="E79" s="7" t="n">
        <v>7</v>
      </c>
    </row>
    <row r="80">
      <c r="A80" s="7" t="inlineStr">
        <is>
          <t>Assets/Prefabs/Temp -Player.prefab</t>
        </is>
      </c>
      <c r="B80" s="7" t="inlineStr">
        <is>
          <t>Temp -Player</t>
        </is>
      </c>
      <c r="C80" s="7" t="inlineStr">
        <is>
          <t>ActivateEnemySpawner</t>
        </is>
      </c>
      <c r="D80" s="7" t="inlineStr">
        <is>
          <t>scanInterval</t>
        </is>
      </c>
      <c r="E80" s="7" t="n">
        <v>0.5</v>
      </c>
    </row>
    <row r="81">
      <c r="A81" s="7" t="inlineStr">
        <is>
          <t>Assets/Prefabs/Temp -Player.prefab</t>
        </is>
      </c>
      <c r="B81" s="7" t="inlineStr">
        <is>
          <t>Temp -Player</t>
        </is>
      </c>
      <c r="C81" s="7" t="inlineStr">
        <is>
          <t>PlayerCoinCollector</t>
        </is>
      </c>
      <c r="D81" s="7" t="inlineStr">
        <is>
          <t>magnetRange</t>
        </is>
      </c>
      <c r="E81" s="7" t="n">
        <v>2.6</v>
      </c>
    </row>
    <row r="82">
      <c r="A82" s="7" t="inlineStr">
        <is>
          <t>Assets/Prefabs/Temp -Player.prefab</t>
        </is>
      </c>
      <c r="B82" s="7" t="inlineStr">
        <is>
          <t>Temp -Player</t>
        </is>
      </c>
      <c r="C82" s="7" t="inlineStr">
        <is>
          <t>PlayerCoinCollector</t>
        </is>
      </c>
      <c r="D82" s="7" t="inlineStr">
        <is>
          <t>magnetStrength</t>
        </is>
      </c>
      <c r="E82" s="7" t="n">
        <v>30</v>
      </c>
    </row>
    <row r="83">
      <c r="A83" s="7" t="inlineStr">
        <is>
          <t>Assets/Prefabs/Temp -Player.prefab</t>
        </is>
      </c>
      <c r="B83" s="7" t="inlineStr">
        <is>
          <t>Temp -Player</t>
        </is>
      </c>
      <c r="C83" s="7" t="inlineStr">
        <is>
          <t>PlayerCoinCollector</t>
        </is>
      </c>
      <c r="D83" s="7" t="inlineStr">
        <is>
          <t>collectDistance</t>
        </is>
      </c>
      <c r="E83" s="7" t="n">
        <v>0.6</v>
      </c>
    </row>
    <row r="84">
      <c r="A84" s="7" t="inlineStr">
        <is>
          <t>Assets/Prefabs/Temp -Player.prefab</t>
        </is>
      </c>
      <c r="B84" s="7" t="inlineStr">
        <is>
          <t>Temp -Player</t>
        </is>
      </c>
      <c r="C84" s="7" t="inlineStr">
        <is>
          <t>PlayerCoinCollector</t>
        </is>
      </c>
      <c r="D84" s="7" t="inlineStr">
        <is>
          <t>checkInterval</t>
        </is>
      </c>
      <c r="E84" s="7" t="n">
        <v>0.01</v>
      </c>
    </row>
    <row r="85">
      <c r="A85" s="7" t="inlineStr">
        <is>
          <t>Assets/Prefabs/Temp -Player.prefab</t>
        </is>
      </c>
      <c r="B85" s="7" t="inlineStr">
        <is>
          <t>Temp -Player</t>
        </is>
      </c>
      <c r="C85" s="7" t="inlineStr">
        <is>
          <t>WeaponInventory</t>
        </is>
      </c>
      <c r="D85" s="7" t="inlineStr">
        <is>
          <t>availableWeapons</t>
        </is>
      </c>
      <c r="E85" s="7" t="inlineStr">
        <is>
          <t>-&gt;MachineGun, -&gt;Shotgun</t>
        </is>
      </c>
    </row>
    <row r="86">
      <c r="A86" s="7" t="inlineStr">
        <is>
          <t>Assets/Prefabs/Temp -Player.prefab</t>
        </is>
      </c>
      <c r="B86" s="7" t="inlineStr">
        <is>
          <t>Temp -Player</t>
        </is>
      </c>
      <c r="C86" s="7" t="inlineStr">
        <is>
          <t>WeaponInventory</t>
        </is>
      </c>
      <c r="D86" s="7" t="inlineStr">
        <is>
          <t>currentWeaponIndex</t>
        </is>
      </c>
      <c r="E86" s="7" t="n">
        <v>1</v>
      </c>
    </row>
    <row r="87">
      <c r="A87" s="7" t="inlineStr">
        <is>
          <t>Assets/Prefabs/Cthullu eye miniboss/Boss1_Steve.prefab</t>
        </is>
      </c>
      <c r="B87" s="7" t="inlineStr">
        <is>
          <t>Boss1_Steve</t>
        </is>
      </c>
      <c r="C87" s="7" t="inlineStr">
        <is>
          <t>BossEnemy</t>
        </is>
      </c>
      <c r="D87" s="7" t="inlineStr">
        <is>
          <t>minTeleporterUses</t>
        </is>
      </c>
      <c r="E87" s="7" t="n">
        <v>1</v>
      </c>
    </row>
    <row r="88">
      <c r="A88" s="7" t="inlineStr">
        <is>
          <t>Assets/Prefabs/Cthullu eye miniboss/Boss1_Steve.prefab</t>
        </is>
      </c>
      <c r="B88" s="7" t="inlineStr">
        <is>
          <t>Boss1_Steve</t>
        </is>
      </c>
      <c r="C88" s="7" t="inlineStr">
        <is>
          <t>BossEnemy</t>
        </is>
      </c>
      <c r="D88" s="7" t="inlineStr">
        <is>
          <t>maxTeleporterUses</t>
        </is>
      </c>
      <c r="E88" s="7" t="n">
        <v>2</v>
      </c>
    </row>
    <row r="89">
      <c r="A89" s="7" t="inlineStr">
        <is>
          <t>Assets/Prefabs/Cthullu eye miniboss/Boss1_Steve.prefab</t>
        </is>
      </c>
      <c r="B89" s="7" t="inlineStr">
        <is>
          <t>Boss1_Steve</t>
        </is>
      </c>
      <c r="C89" s="7" t="inlineStr">
        <is>
          <t>BossEnemy</t>
        </is>
      </c>
      <c r="D89" s="7" t="inlineStr">
        <is>
          <t>maxSpawnTimeSeconds</t>
        </is>
      </c>
      <c r="E89" s="7" t="n">
        <v>180</v>
      </c>
    </row>
    <row r="90">
      <c r="A90" s="7" t="inlineStr">
        <is>
          <t>Assets/Prefabs/Cthullu eye miniboss/Boss1_Steve.prefab</t>
        </is>
      </c>
      <c r="B90" s="7" t="inlineStr">
        <is>
          <t>Boss1_Steve</t>
        </is>
      </c>
      <c r="C90" s="7" t="inlineStr">
        <is>
          <t>BossEnemy</t>
        </is>
      </c>
      <c r="D90" s="7" t="inlineStr">
        <is>
          <t>maxHealth</t>
        </is>
      </c>
      <c r="E90" s="7" t="n">
        <v>500</v>
      </c>
    </row>
    <row r="91">
      <c r="A91" s="7" t="inlineStr">
        <is>
          <t>Assets/Prefabs/Cthullu eye miniboss/Boss1_Steve.prefab</t>
        </is>
      </c>
      <c r="B91" s="7" t="inlineStr">
        <is>
          <t>Boss1_Steve</t>
        </is>
      </c>
      <c r="C91" s="7" t="inlineStr">
        <is>
          <t>BossEnemy</t>
        </is>
      </c>
      <c r="D91" s="7" t="inlineStr">
        <is>
          <t>attackDamage</t>
        </is>
      </c>
      <c r="E91" s="7" t="n">
        <v>10</v>
      </c>
    </row>
    <row r="92">
      <c r="A92" s="7" t="inlineStr">
        <is>
          <t>Assets/Prefabs/Cthullu eye miniboss/Boss1_Steve.prefab</t>
        </is>
      </c>
      <c r="B92" s="7" t="inlineStr">
        <is>
          <t>Boss1_Steve</t>
        </is>
      </c>
      <c r="C92" s="7" t="inlineStr">
        <is>
          <t>BossEnemy</t>
        </is>
      </c>
      <c r="D92" s="7" t="inlineStr">
        <is>
          <t>attackCooldown</t>
        </is>
      </c>
      <c r="E92" s="7" t="n">
        <v>1.5</v>
      </c>
    </row>
    <row r="93">
      <c r="A93" s="7" t="inlineStr">
        <is>
          <t>Assets/Prefabs/Cthullu eye miniboss/Boss1_Steve.prefab</t>
        </is>
      </c>
      <c r="B93" s="7" t="inlineStr">
        <is>
          <t>Boss1_Steve</t>
        </is>
      </c>
      <c r="C93" s="7" t="inlineStr">
        <is>
          <t>BossEnemy</t>
        </is>
      </c>
      <c r="D93" s="7" t="inlineStr">
        <is>
          <t>moveSpeed</t>
        </is>
      </c>
      <c r="E93" s="7" t="n">
        <v>4</v>
      </c>
    </row>
    <row r="94">
      <c r="A94" s="7" t="inlineStr">
        <is>
          <t>Assets/Prefabs/Cthullu eye miniboss/Boss1_Steve.prefab</t>
        </is>
      </c>
      <c r="B94" s="7" t="inlineStr">
        <is>
          <t>Boss1_Steve</t>
        </is>
      </c>
      <c r="C94" s="7" t="inlineStr">
        <is>
          <t>BossEnemy</t>
        </is>
      </c>
      <c r="D94" s="7" t="inlineStr">
        <is>
          <t>wallBounceMultiplier</t>
        </is>
      </c>
      <c r="E94" s="7" t="n">
        <v>1.2</v>
      </c>
    </row>
    <row r="95">
      <c r="A95" s="7" t="inlineStr">
        <is>
          <t>Assets/Prefabs/Cthullu eye miniboss/Boss1_Steve.prefab</t>
        </is>
      </c>
      <c r="B95" s="7" t="inlineStr">
        <is>
          <t>Boss1_Steve</t>
        </is>
      </c>
      <c r="C95" s="7" t="inlineStr">
        <is>
          <t>BossEnemy</t>
        </is>
      </c>
      <c r="D95" s="7" t="inlineStr">
        <is>
          <t>directionChangeInterval</t>
        </is>
      </c>
      <c r="E95" s="7" t="n">
        <v>2</v>
      </c>
    </row>
    <row r="96">
      <c r="A96" s="7" t="inlineStr">
        <is>
          <t>Assets/Prefabs/Cthullu eye miniboss/Boss1_Steve.prefab</t>
        </is>
      </c>
      <c r="B96" s="7" t="inlineStr">
        <is>
          <t>Boss1_Steve</t>
        </is>
      </c>
      <c r="C96" s="7" t="inlineStr">
        <is>
          <t>BossEnemy</t>
        </is>
      </c>
      <c r="D96" s="7" t="inlineStr">
        <is>
          <t>flashDuration</t>
        </is>
      </c>
      <c r="E96" s="7" t="n">
        <v>0.1</v>
      </c>
    </row>
    <row r="97">
      <c r="A97" s="7" t="inlineStr">
        <is>
          <t>Assets/Prefabs/Cthullu eye miniboss/Boss1_Steve.prefab</t>
        </is>
      </c>
      <c r="B97" s="7" t="inlineStr">
        <is>
          <t>Boss1_Steve</t>
        </is>
      </c>
      <c r="C97" s="7" t="inlineStr">
        <is>
          <t>BossEnemy</t>
        </is>
      </c>
      <c r="D97" s="7" t="inlineStr">
        <is>
          <t>minCoins</t>
        </is>
      </c>
      <c r="E97" s="7" t="n">
        <v>10</v>
      </c>
    </row>
    <row r="98">
      <c r="A98" s="7" t="inlineStr">
        <is>
          <t>Assets/Prefabs/Cthullu eye miniboss/Boss1_Steve.prefab</t>
        </is>
      </c>
      <c r="B98" s="7" t="inlineStr">
        <is>
          <t>Boss1_Steve</t>
        </is>
      </c>
      <c r="C98" s="7" t="inlineStr">
        <is>
          <t>BossEnemy</t>
        </is>
      </c>
      <c r="D98" s="7" t="inlineStr">
        <is>
          <t>maxCoins</t>
        </is>
      </c>
      <c r="E98" s="7" t="n">
        <v>20</v>
      </c>
    </row>
    <row r="99">
      <c r="A99" s="7" t="inlineStr">
        <is>
          <t>Assets/Prefabs/Cthullu eye miniboss/Boss1_Steve.prefab</t>
        </is>
      </c>
      <c r="B99" s="7" t="inlineStr">
        <is>
          <t>Boss1_Steve</t>
        </is>
      </c>
      <c r="C99" s="7" t="inlineStr">
        <is>
          <t>BossEnemy</t>
        </is>
      </c>
      <c r="D99" s="7" t="inlineStr">
        <is>
          <t>coinDropForce</t>
        </is>
      </c>
      <c r="E99" s="7" t="n">
        <v>5</v>
      </c>
    </row>
    <row r="100">
      <c r="A100" s="7" t="inlineStr">
        <is>
          <t>Assets/Prefabs/Cthullu eye miniboss/Boss1_Steve.prefab</t>
        </is>
      </c>
      <c r="B100" s="7" t="inlineStr">
        <is>
          <t>Boss1_Steve</t>
        </is>
      </c>
      <c r="C100" s="7" t="inlineStr">
        <is>
          <t>BossEnemy</t>
        </is>
      </c>
      <c r="D100" s="7" t="inlineStr">
        <is>
          <t>coinSpreadRadius</t>
        </is>
      </c>
      <c r="E100" s="7" t="n">
        <v>2</v>
      </c>
    </row>
    <row r="101">
      <c r="A101" s="7" t="inlineStr">
        <is>
          <t>Assets/Prefabs/Cthullu eye miniboss/CuthuluEye.prefab</t>
        </is>
      </c>
      <c r="B101" s="7" t="inlineStr">
        <is>
          <t>CuthuluEye</t>
        </is>
      </c>
      <c r="C101" s="7" t="inlineStr">
        <is>
          <t>CthuluEyeEnemy</t>
        </is>
      </c>
      <c r="D101" s="7" t="inlineStr">
        <is>
          <t>activationRadius</t>
        </is>
      </c>
      <c r="E101" s="7" t="n">
        <v>20</v>
      </c>
    </row>
    <row r="102">
      <c r="A102" s="7" t="inlineStr">
        <is>
          <t>Assets/Prefabs/Cthullu eye miniboss/CuthuluEye.prefab</t>
        </is>
      </c>
      <c r="B102" s="7" t="inlineStr">
        <is>
          <t>CuthuluEye</t>
        </is>
      </c>
      <c r="C102" s="7" t="inlineStr">
        <is>
          <t>CthuluEyeEnemy</t>
        </is>
      </c>
      <c r="D102" s="7" t="inlineStr">
        <is>
          <t>checkInterval</t>
        </is>
      </c>
      <c r="E102" s="7" t="n">
        <v>0.5</v>
      </c>
    </row>
    <row r="103">
      <c r="A103" s="7" t="inlineStr">
        <is>
          <t>Assets/Prefabs/Cthullu eye miniboss/CuthuluEye.prefab</t>
        </is>
      </c>
      <c r="B103" s="7" t="inlineStr">
        <is>
          <t>CuthuluEye</t>
        </is>
      </c>
      <c r="C103" s="7" t="inlineStr">
        <is>
          <t>CthuluEyeEnemy</t>
        </is>
      </c>
      <c r="D103" s="7" t="inlineStr">
        <is>
          <t>activationDelay</t>
        </is>
      </c>
      <c r="E103" s="7" t="n">
        <v>2</v>
      </c>
    </row>
    <row r="104">
      <c r="A104" s="7" t="inlineStr">
        <is>
          <t>Assets/Prefabs/Cthullu eye miniboss/CuthuluEye.prefab</t>
        </is>
      </c>
      <c r="B104" s="7" t="inlineStr">
        <is>
          <t>CuthuluEye</t>
        </is>
      </c>
      <c r="C104" s="7" t="inlineStr">
        <is>
          <t>CthuluEyeEnemy</t>
        </is>
      </c>
      <c r="D104" s="7" t="inlineStr">
        <is>
          <t>moveSpeed</t>
        </is>
      </c>
      <c r="E104" s="7" t="n">
        <v>2</v>
      </c>
    </row>
    <row r="105">
      <c r="A105" s="7" t="inlineStr">
        <is>
          <t>Assets/Prefabs/Cthullu eye miniboss/CuthuluEye.prefab</t>
        </is>
      </c>
      <c r="B105" s="7" t="inlineStr">
        <is>
          <t>CuthuluEye</t>
        </is>
      </c>
      <c r="C105" s="7" t="inlineStr">
        <is>
          <t>CthuluEyeEnemy</t>
        </is>
      </c>
      <c r="D105" s="7" t="inlineStr">
        <is>
          <t>preferredDistance</t>
        </is>
      </c>
      <c r="E105" s="7" t="n">
        <v>5</v>
      </c>
    </row>
    <row r="106">
      <c r="A106" s="7" t="inlineStr">
        <is>
          <t>Assets/Prefabs/Cthullu eye miniboss/CuthuluEye.prefab</t>
        </is>
      </c>
      <c r="B106" s="7" t="inlineStr">
        <is>
          <t>CuthuluEye</t>
        </is>
      </c>
      <c r="C106" s="7" t="inlineStr">
        <is>
          <t>CthuluEyeEnemy</t>
        </is>
      </c>
      <c r="D106" s="7" t="inlineStr">
        <is>
          <t>distanceTolerance</t>
        </is>
      </c>
      <c r="E106" s="7" t="n">
        <v>1</v>
      </c>
    </row>
    <row r="107">
      <c r="A107" s="7" t="inlineStr">
        <is>
          <t>Assets/Prefabs/Cthullu eye miniboss/CuthuluEye.prefab</t>
        </is>
      </c>
      <c r="B107" s="7" t="inlineStr">
        <is>
          <t>CuthuluEye</t>
        </is>
      </c>
      <c r="C107" s="7" t="inlineStr">
        <is>
          <t>CthuluEyeEnemy</t>
        </is>
      </c>
      <c r="D107" s="7" t="inlineStr">
        <is>
          <t>escapePentagramPrefab</t>
        </is>
      </c>
      <c r="E107" s="7" t="inlineStr">
        <is>
          <t>-&gt;EscapePent</t>
        </is>
      </c>
    </row>
    <row r="108">
      <c r="A108" s="7" t="inlineStr">
        <is>
          <t>Assets/Prefabs/Cthullu eye miniboss/CuthuluEye.prefab</t>
        </is>
      </c>
      <c r="B108" s="7" t="inlineStr">
        <is>
          <t>CuthuluEye</t>
        </is>
      </c>
      <c r="C108" s="7" t="inlineStr">
        <is>
          <t>CthuluEyeEnemy</t>
        </is>
      </c>
      <c r="D108" s="7" t="inlineStr">
        <is>
          <t>prisonPentagramPrefab</t>
        </is>
      </c>
      <c r="E108" s="7" t="inlineStr">
        <is>
          <t>-&gt;PrisonPent</t>
        </is>
      </c>
    </row>
    <row r="109">
      <c r="A109" s="7" t="inlineStr">
        <is>
          <t>Assets/Prefabs/Cthullu eye miniboss/CuthuluEye.prefab</t>
        </is>
      </c>
      <c r="B109" s="7" t="inlineStr">
        <is>
          <t>CuthuluEye</t>
        </is>
      </c>
      <c r="C109" s="7" t="inlineStr">
        <is>
          <t>CthuluEyeEnemy</t>
        </is>
      </c>
      <c r="D109" s="7" t="inlineStr">
        <is>
          <t>attackCooldown</t>
        </is>
      </c>
      <c r="E109" s="7" t="n">
        <v>5</v>
      </c>
    </row>
    <row r="110">
      <c r="A110" s="7" t="inlineStr">
        <is>
          <t>Assets/Prefabs/Cthullu eye miniboss/CuthuluEye.prefab</t>
        </is>
      </c>
      <c r="B110" s="7" t="inlineStr">
        <is>
          <t>CuthuluEye</t>
        </is>
      </c>
      <c r="C110" s="7" t="inlineStr">
        <is>
          <t>CthuluEyeEnemy</t>
        </is>
      </c>
      <c r="D110" s="7" t="inlineStr">
        <is>
          <t>escapePentagramChance</t>
        </is>
      </c>
      <c r="E110" s="7" t="n">
        <v>0.5</v>
      </c>
    </row>
    <row r="111">
      <c r="A111" s="7" t="inlineStr">
        <is>
          <t>Assets/Prefabs/Cthullu eye miniboss/CuthuluEye.prefab</t>
        </is>
      </c>
      <c r="B111" s="7" t="inlineStr">
        <is>
          <t>CuthuluEye</t>
        </is>
      </c>
      <c r="C111" s="7" t="inlineStr">
        <is>
          <t>CthuluEyeEnemy</t>
        </is>
      </c>
      <c r="D111" s="7" t="inlineStr">
        <is>
          <t>damageJuiceDuration</t>
        </is>
      </c>
      <c r="E111" s="7" t="n">
        <v>0.15</v>
      </c>
    </row>
    <row r="112">
      <c r="A112" s="7" t="inlineStr">
        <is>
          <t>Assets/Prefabs/Cthullu eye miniboss/CuthuluEye.prefab</t>
        </is>
      </c>
      <c r="B112" s="7" t="inlineStr">
        <is>
          <t>CuthuluEye</t>
        </is>
      </c>
      <c r="C112" s="7" t="inlineStr">
        <is>
          <t>CthuluEyeEnemy</t>
        </is>
      </c>
      <c r="D112" s="7" t="inlineStr">
        <is>
          <t>damageSquashScale</t>
        </is>
      </c>
      <c r="E112" s="7" t="n">
        <v>0.5</v>
      </c>
    </row>
    <row r="113">
      <c r="A113" s="7" t="inlineStr">
        <is>
          <t>Assets/Prefabs/Cthullu eye miniboss/CuthuluEye.prefab</t>
        </is>
      </c>
      <c r="B113" s="7" t="inlineStr">
        <is>
          <t>CuthuluEye</t>
        </is>
      </c>
      <c r="C113" s="7" t="inlineStr">
        <is>
          <t>CthuluEyeEnemy</t>
        </is>
      </c>
      <c r="D113" s="7" t="inlineStr">
        <is>
          <t>maxHealth</t>
        </is>
      </c>
      <c r="E113" s="7" t="n">
        <v>300</v>
      </c>
    </row>
    <row r="114">
      <c r="A114" s="7" t="inlineStr">
        <is>
          <t>Assets/Prefabs/Cthullu eye miniboss/CuthuluEye.prefab</t>
        </is>
      </c>
      <c r="B114" s="7" t="inlineStr">
        <is>
          <t>CuthuluEye</t>
        </is>
      </c>
      <c r="C114" s="7" t="inlineStr">
        <is>
          <t>CthuluEyeEnemy</t>
        </is>
      </c>
      <c r="D114" s="7" t="inlineStr">
        <is>
          <t>currentHealth</t>
        </is>
      </c>
      <c r="E114" s="7" t="n">
        <v>300</v>
      </c>
    </row>
    <row r="115">
      <c r="A115" s="7" t="inlineStr">
        <is>
          <t>Assets/Prefabs/Cthullu eye miniboss/EscapePent.prefab</t>
        </is>
      </c>
      <c r="B115" s="7" t="inlineStr">
        <is>
          <t>EscapePent</t>
        </is>
      </c>
      <c r="C115" s="7" t="inlineStr">
        <is>
          <t>EscapePentagram</t>
        </is>
      </c>
      <c r="D115" s="7" t="inlineStr">
        <is>
          <t>radius</t>
        </is>
      </c>
      <c r="E115" s="7" t="n">
        <v>0.7</v>
      </c>
    </row>
    <row r="116">
      <c r="A116" s="7" t="inlineStr">
        <is>
          <t>Assets/Prefabs/Cthullu eye miniboss/EscapePent.prefab</t>
        </is>
      </c>
      <c r="B116" s="7" t="inlineStr">
        <is>
          <t>EscapePent</t>
        </is>
      </c>
      <c r="C116" s="7" t="inlineStr">
        <is>
          <t>EscapePentagram</t>
        </is>
      </c>
      <c r="D116" s="7" t="inlineStr">
        <is>
          <t>warningDuration</t>
        </is>
      </c>
      <c r="E116" s="7" t="n">
        <v>1.5</v>
      </c>
    </row>
    <row r="117">
      <c r="A117" s="7" t="inlineStr">
        <is>
          <t>Assets/Prefabs/Cthullu eye miniboss/EscapePent.prefab</t>
        </is>
      </c>
      <c r="B117" s="7" t="inlineStr">
        <is>
          <t>EscapePent</t>
        </is>
      </c>
      <c r="C117" s="7" t="inlineStr">
        <is>
          <t>EscapePentagram</t>
        </is>
      </c>
      <c r="D117" s="7" t="inlineStr">
        <is>
          <t>damage</t>
        </is>
      </c>
      <c r="E117" s="7" t="n">
        <v>20</v>
      </c>
    </row>
    <row r="118">
      <c r="A118" s="7" t="inlineStr">
        <is>
          <t>Assets/Prefabs/Cthullu eye miniboss/EscapePent.prefab</t>
        </is>
      </c>
      <c r="B118" s="7" t="inlineStr">
        <is>
          <t>EscapePent</t>
        </is>
      </c>
      <c r="C118" s="7" t="inlineStr">
        <is>
          <t>EscapePentagram</t>
        </is>
      </c>
      <c r="D118" s="7" t="inlineStr">
        <is>
          <t>glowPulseSpeed</t>
        </is>
      </c>
      <c r="E118" s="7" t="n">
        <v>1</v>
      </c>
    </row>
    <row r="119">
      <c r="A119" s="7" t="inlineStr">
        <is>
          <t>Assets/Prefabs/Cthullu eye miniboss/EscapePent.prefab</t>
        </is>
      </c>
      <c r="B119" s="7" t="inlineStr">
        <is>
          <t>EscapePent</t>
        </is>
      </c>
      <c r="C119" s="7" t="inlineStr">
        <is>
          <t>EscapePentagram</t>
        </is>
      </c>
      <c r="D119" s="7" t="inlineStr">
        <is>
          <t>glowIntensity</t>
        </is>
      </c>
      <c r="E119" s="7" t="n">
        <v>0.6</v>
      </c>
    </row>
    <row r="120">
      <c r="A120" s="7" t="inlineStr">
        <is>
          <t>Assets/Prefabs/Cthullu eye miniboss/Pentagrams.prefab</t>
        </is>
      </c>
      <c r="B120" s="7" t="inlineStr">
        <is>
          <t>Pentagrams</t>
        </is>
      </c>
      <c r="C120" s="7" t="inlineStr">
        <is>
          <t>Pentagram</t>
        </is>
      </c>
      <c r="D120" s="7" t="inlineStr">
        <is>
          <t>pentagramType</t>
        </is>
      </c>
      <c r="E120" s="7" t="n">
        <v>0</v>
      </c>
    </row>
    <row r="121">
      <c r="A121" s="7" t="inlineStr">
        <is>
          <t>Assets/Prefabs/Cthullu eye miniboss/Pentagrams.prefab</t>
        </is>
      </c>
      <c r="B121" s="7" t="inlineStr">
        <is>
          <t>Pentagrams</t>
        </is>
      </c>
      <c r="C121" s="7" t="inlineStr">
        <is>
          <t>Pentagram</t>
        </is>
      </c>
      <c r="D121" s="7" t="inlineStr">
        <is>
          <t>radius</t>
        </is>
      </c>
      <c r="E121" s="7" t="n">
        <v>2</v>
      </c>
    </row>
    <row r="122">
      <c r="A122" s="7" t="inlineStr">
        <is>
          <t>Assets/Prefabs/Cthullu eye miniboss/Pentagrams.prefab</t>
        </is>
      </c>
      <c r="B122" s="7" t="inlineStr">
        <is>
          <t>Pentagrams</t>
        </is>
      </c>
      <c r="C122" s="7" t="inlineStr">
        <is>
          <t>Pentagram</t>
        </is>
      </c>
      <c r="D122" s="7" t="inlineStr">
        <is>
          <t>escapeWarningDuration</t>
        </is>
      </c>
      <c r="E122" s="7" t="n">
        <v>1.5</v>
      </c>
    </row>
    <row r="123">
      <c r="A123" s="7" t="inlineStr">
        <is>
          <t>Assets/Prefabs/Cthullu eye miniboss/Pentagrams.prefab</t>
        </is>
      </c>
      <c r="B123" s="7" t="inlineStr">
        <is>
          <t>Pentagrams</t>
        </is>
      </c>
      <c r="C123" s="7" t="inlineStr">
        <is>
          <t>Pentagram</t>
        </is>
      </c>
      <c r="D123" s="7" t="inlineStr">
        <is>
          <t>escapeDamage</t>
        </is>
      </c>
      <c r="E123" s="7" t="n">
        <v>20</v>
      </c>
    </row>
    <row r="124">
      <c r="A124" s="7" t="inlineStr">
        <is>
          <t>Assets/Prefabs/Cthullu eye miniboss/Pentagrams.prefab</t>
        </is>
      </c>
      <c r="B124" s="7" t="inlineStr">
        <is>
          <t>Pentagrams</t>
        </is>
      </c>
      <c r="C124" s="7" t="inlineStr">
        <is>
          <t>Pentagram</t>
        </is>
      </c>
      <c r="D124" s="7" t="inlineStr">
        <is>
          <t>prisonWarningDuration</t>
        </is>
      </c>
      <c r="E124" s="7" t="n">
        <v>0.8</v>
      </c>
    </row>
    <row r="125">
      <c r="A125" s="7" t="inlineStr">
        <is>
          <t>Assets/Prefabs/Cthullu eye miniboss/Pentagrams.prefab</t>
        </is>
      </c>
      <c r="B125" s="7" t="inlineStr">
        <is>
          <t>Pentagrams</t>
        </is>
      </c>
      <c r="C125" s="7" t="inlineStr">
        <is>
          <t>Pentagram</t>
        </is>
      </c>
      <c r="D125" s="7" t="inlineStr">
        <is>
          <t>prisonTrapDuration</t>
        </is>
      </c>
      <c r="E125" s="7" t="n">
        <v>3</v>
      </c>
    </row>
    <row r="126">
      <c r="A126" s="7" t="inlineStr">
        <is>
          <t>Assets/Prefabs/Cthullu eye miniboss/Pentagrams.prefab</t>
        </is>
      </c>
      <c r="B126" s="7" t="inlineStr">
        <is>
          <t>Pentagrams</t>
        </is>
      </c>
      <c r="C126" s="7" t="inlineStr">
        <is>
          <t>Pentagram</t>
        </is>
      </c>
      <c r="D126" s="7" t="inlineStr">
        <is>
          <t>glowPulseSpeed</t>
        </is>
      </c>
      <c r="E126" s="7" t="n">
        <v>2</v>
      </c>
    </row>
    <row r="127">
      <c r="A127" s="7" t="inlineStr">
        <is>
          <t>Assets/Prefabs/Cthullu eye miniboss/Pentagrams.prefab</t>
        </is>
      </c>
      <c r="B127" s="7" t="inlineStr">
        <is>
          <t>Pentagrams</t>
        </is>
      </c>
      <c r="C127" s="7" t="inlineStr">
        <is>
          <t>Pentagram</t>
        </is>
      </c>
      <c r="D127" s="7" t="inlineStr">
        <is>
          <t>glowIntensity</t>
        </is>
      </c>
      <c r="E127" s="7" t="n">
        <v>0.5</v>
      </c>
    </row>
    <row r="128">
      <c r="A128" s="7" t="inlineStr">
        <is>
          <t>Assets/Prefabs/Cthullu eye miniboss/PrisonPent.prefab</t>
        </is>
      </c>
      <c r="B128" s="7" t="inlineStr">
        <is>
          <t>PrisonPent</t>
        </is>
      </c>
      <c r="C128" s="7" t="inlineStr">
        <is>
          <t>PrisonPentagram</t>
        </is>
      </c>
      <c r="D128" s="7" t="inlineStr">
        <is>
          <t>radius</t>
        </is>
      </c>
      <c r="E128" s="7" t="n">
        <v>0.7</v>
      </c>
    </row>
    <row r="129">
      <c r="A129" s="7" t="inlineStr">
        <is>
          <t>Assets/Prefabs/Cthullu eye miniboss/PrisonPent.prefab</t>
        </is>
      </c>
      <c r="B129" s="7" t="inlineStr">
        <is>
          <t>PrisonPent</t>
        </is>
      </c>
      <c r="C129" s="7" t="inlineStr">
        <is>
          <t>PrisonPentagram</t>
        </is>
      </c>
      <c r="D129" s="7" t="inlineStr">
        <is>
          <t>warningDuration</t>
        </is>
      </c>
      <c r="E129" s="7" t="n">
        <v>0.8</v>
      </c>
    </row>
    <row r="130">
      <c r="A130" s="7" t="inlineStr">
        <is>
          <t>Assets/Prefabs/Cthullu eye miniboss/PrisonPent.prefab</t>
        </is>
      </c>
      <c r="B130" s="7" t="inlineStr">
        <is>
          <t>PrisonPent</t>
        </is>
      </c>
      <c r="C130" s="7" t="inlineStr">
        <is>
          <t>PrisonPentagram</t>
        </is>
      </c>
      <c r="D130" s="7" t="inlineStr">
        <is>
          <t>trapDuration</t>
        </is>
      </c>
      <c r="E130" s="7" t="n">
        <v>3</v>
      </c>
    </row>
    <row r="131">
      <c r="A131" s="7" t="inlineStr">
        <is>
          <t>Assets/Prefabs/Cthullu eye miniboss/PrisonPent.prefab</t>
        </is>
      </c>
      <c r="B131" s="7" t="inlineStr">
        <is>
          <t>PrisonPent</t>
        </is>
      </c>
      <c r="C131" s="7" t="inlineStr">
        <is>
          <t>PrisonPentagram</t>
        </is>
      </c>
      <c r="D131" s="7" t="inlineStr">
        <is>
          <t>glowPulseSpeed</t>
        </is>
      </c>
      <c r="E131" s="7" t="n">
        <v>1</v>
      </c>
    </row>
    <row r="132">
      <c r="A132" s="7" t="inlineStr">
        <is>
          <t>Assets/Prefabs/Cthullu eye miniboss/PrisonPent.prefab</t>
        </is>
      </c>
      <c r="B132" s="7" t="inlineStr">
        <is>
          <t>PrisonPent</t>
        </is>
      </c>
      <c r="C132" s="7" t="inlineStr">
        <is>
          <t>PrisonPentagram</t>
        </is>
      </c>
      <c r="D132" s="7" t="inlineStr">
        <is>
          <t>glowIntensity</t>
        </is>
      </c>
      <c r="E132" s="7" t="n">
        <v>0.7</v>
      </c>
    </row>
    <row r="133">
      <c r="A133" s="7" t="inlineStr">
        <is>
          <t>Assets/Prefabs/Enemies/Enemy 1.prefab</t>
        </is>
      </c>
      <c r="B133" s="7" t="inlineStr">
        <is>
          <t>Enemy 1</t>
        </is>
      </c>
      <c r="C133" s="7" t="inlineStr">
        <is>
          <t>Enemy</t>
        </is>
      </c>
      <c r="D133" s="7" t="inlineStr">
        <is>
          <t>maxHealth</t>
        </is>
      </c>
      <c r="E133" s="7" t="n">
        <v>50</v>
      </c>
    </row>
    <row r="134">
      <c r="A134" s="7" t="inlineStr">
        <is>
          <t>Assets/Prefabs/Enemies/Enemy 1.prefab</t>
        </is>
      </c>
      <c r="B134" s="7" t="inlineStr">
        <is>
          <t>Enemy 1</t>
        </is>
      </c>
      <c r="C134" s="7" t="inlineStr">
        <is>
          <t>Enemy</t>
        </is>
      </c>
      <c r="D134" s="7" t="inlineStr">
        <is>
          <t>knockbackStrength</t>
        </is>
      </c>
      <c r="E134" s="7" t="n">
        <v>25</v>
      </c>
    </row>
    <row r="135">
      <c r="A135" s="7" t="inlineStr">
        <is>
          <t>Assets/Prefabs/Enemies/Enemy 1.prefab</t>
        </is>
      </c>
      <c r="B135" s="7" t="inlineStr">
        <is>
          <t>Enemy 1</t>
        </is>
      </c>
      <c r="C135" s="7" t="inlineStr">
        <is>
          <t>Enemy</t>
        </is>
      </c>
      <c r="D135" s="7" t="inlineStr">
        <is>
          <t>flashDuration</t>
        </is>
      </c>
      <c r="E135" s="7" t="n">
        <v>0.2</v>
      </c>
    </row>
    <row r="136">
      <c r="A136" s="7" t="inlineStr">
        <is>
          <t>Assets/Prefabs/Enemies/Enemy 1.prefab</t>
        </is>
      </c>
      <c r="B136" s="7" t="inlineStr">
        <is>
          <t>Enemy 1</t>
        </is>
      </c>
      <c r="C136" s="7" t="inlineStr">
        <is>
          <t>Enemy</t>
        </is>
      </c>
      <c r="D136" s="7" t="inlineStr">
        <is>
          <t>coinPrefab</t>
        </is>
      </c>
      <c r="E136" s="7" t="inlineStr">
        <is>
          <t>-&gt;Coin</t>
        </is>
      </c>
    </row>
    <row r="137">
      <c r="A137" s="7" t="inlineStr">
        <is>
          <t>Assets/Prefabs/Enemies/Enemy 1.prefab</t>
        </is>
      </c>
      <c r="B137" s="7" t="inlineStr">
        <is>
          <t>Enemy 1</t>
        </is>
      </c>
      <c r="C137" s="7" t="inlineStr">
        <is>
          <t>Enemy</t>
        </is>
      </c>
      <c r="D137" s="7" t="inlineStr">
        <is>
          <t>minCoins</t>
        </is>
      </c>
      <c r="E137" s="7" t="n">
        <v>4</v>
      </c>
    </row>
    <row r="138">
      <c r="A138" s="7" t="inlineStr">
        <is>
          <t>Assets/Prefabs/Enemies/Enemy 1.prefab</t>
        </is>
      </c>
      <c r="B138" s="7" t="inlineStr">
        <is>
          <t>Enemy 1</t>
        </is>
      </c>
      <c r="C138" s="7" t="inlineStr">
        <is>
          <t>Enemy</t>
        </is>
      </c>
      <c r="D138" s="7" t="inlineStr">
        <is>
          <t>maxCoins</t>
        </is>
      </c>
      <c r="E138" s="7" t="n">
        <v>8</v>
      </c>
    </row>
    <row r="139">
      <c r="A139" s="7" t="inlineStr">
        <is>
          <t>Assets/Prefabs/Enemies/Enemy 1.prefab</t>
        </is>
      </c>
      <c r="B139" s="7" t="inlineStr">
        <is>
          <t>Enemy 1</t>
        </is>
      </c>
      <c r="C139" s="7" t="inlineStr">
        <is>
          <t>Enemy</t>
        </is>
      </c>
      <c r="D139" s="7" t="inlineStr">
        <is>
          <t>coinDropForce</t>
        </is>
      </c>
      <c r="E139" s="7" t="n">
        <v>3</v>
      </c>
    </row>
    <row r="140">
      <c r="A140" s="7" t="inlineStr">
        <is>
          <t>Assets/Prefabs/Enemies/Enemy 1.prefab</t>
        </is>
      </c>
      <c r="B140" s="7" t="inlineStr">
        <is>
          <t>Enemy 1</t>
        </is>
      </c>
      <c r="C140" s="7" t="inlineStr">
        <is>
          <t>Enemy</t>
        </is>
      </c>
      <c r="D140" s="7" t="inlineStr">
        <is>
          <t>coinSpreadRadius</t>
        </is>
      </c>
      <c r="E140" s="7" t="n">
        <v>0.5</v>
      </c>
    </row>
    <row r="141">
      <c r="A141" s="7" t="inlineStr">
        <is>
          <t>Assets/Prefabs/Enemies/Enemy 1.prefab</t>
        </is>
      </c>
      <c r="B141" s="7" t="inlineStr">
        <is>
          <t>Enemy 1</t>
        </is>
      </c>
      <c r="C141" s="7" t="inlineStr">
        <is>
          <t>Enemy</t>
        </is>
      </c>
      <c r="D141" s="7" t="inlineStr">
        <is>
          <t>attackDamage</t>
        </is>
      </c>
      <c r="E141" s="7" t="n">
        <v>25</v>
      </c>
    </row>
    <row r="142">
      <c r="A142" s="7" t="inlineStr">
        <is>
          <t>Assets/Prefabs/Enemies/Enemy 1.prefab</t>
        </is>
      </c>
      <c r="B142" s="7" t="inlineStr">
        <is>
          <t>Enemy 1</t>
        </is>
      </c>
      <c r="C142" s="7" t="inlineStr">
        <is>
          <t>Enemy</t>
        </is>
      </c>
      <c r="D142" s="7" t="inlineStr">
        <is>
          <t>attackCooldown</t>
        </is>
      </c>
      <c r="E142" s="7" t="n">
        <v>1.5</v>
      </c>
    </row>
    <row r="143">
      <c r="A143" s="7" t="inlineStr">
        <is>
          <t>Assets/Prefabs/Enemies/Enemy 1.prefab</t>
        </is>
      </c>
      <c r="B143" s="7" t="inlineStr">
        <is>
          <t>Enemy 1</t>
        </is>
      </c>
      <c r="C143" s="7" t="inlineStr">
        <is>
          <t>EnemyMovement</t>
        </is>
      </c>
      <c r="D143" s="7" t="inlineStr">
        <is>
          <t>speed</t>
        </is>
      </c>
      <c r="E143" s="7" t="n">
        <v>4</v>
      </c>
    </row>
    <row r="144">
      <c r="A144" s="7" t="inlineStr">
        <is>
          <t>Assets/Prefabs/Enemies/Enemy 1.prefab</t>
        </is>
      </c>
      <c r="B144" s="7" t="inlineStr">
        <is>
          <t>Enemy 1</t>
        </is>
      </c>
      <c r="C144" s="7" t="inlineStr">
        <is>
          <t>EnemyMovement</t>
        </is>
      </c>
      <c r="D144" s="7" t="inlineStr">
        <is>
          <t>rotationSpeed</t>
        </is>
      </c>
      <c r="E144" s="7" t="n">
        <v>5</v>
      </c>
    </row>
    <row r="145">
      <c r="A145" s="7" t="inlineStr">
        <is>
          <t>Assets/Prefabs/Enemies/Enemy 1.prefab</t>
        </is>
      </c>
      <c r="B145" s="7" t="inlineStr">
        <is>
          <t>Enemy 1</t>
        </is>
      </c>
      <c r="C145" s="7" t="inlineStr">
        <is>
          <t>EnemyMovement</t>
        </is>
      </c>
      <c r="D145" s="7" t="inlineStr">
        <is>
          <t>attackTriggerDistance</t>
        </is>
      </c>
      <c r="E145" s="7" t="n">
        <v>2</v>
      </c>
    </row>
    <row r="146">
      <c r="A146" s="7" t="inlineStr">
        <is>
          <t>Assets/Prefabs/Enemies/Enemy 1.prefab</t>
        </is>
      </c>
      <c r="B146" s="7" t="inlineStr">
        <is>
          <t>Enemy 1</t>
        </is>
      </c>
      <c r="C146" s="7" t="inlineStr">
        <is>
          <t>EnemyMovement</t>
        </is>
      </c>
      <c r="D146" s="7" t="inlineStr">
        <is>
          <t>windupDistance</t>
        </is>
      </c>
      <c r="E146" s="7" t="n">
        <v>0.2</v>
      </c>
    </row>
    <row r="147">
      <c r="A147" s="7" t="inlineStr">
        <is>
          <t>Assets/Prefabs/Enemies/Enemy 1.prefab</t>
        </is>
      </c>
      <c r="B147" s="7" t="inlineStr">
        <is>
          <t>Enemy 1</t>
        </is>
      </c>
      <c r="C147" s="7" t="inlineStr">
        <is>
          <t>EnemyMovement</t>
        </is>
      </c>
      <c r="D147" s="7" t="inlineStr">
        <is>
          <t>lungeForce</t>
        </is>
      </c>
      <c r="E147" s="7" t="n">
        <v>20</v>
      </c>
    </row>
    <row r="148">
      <c r="A148" s="7" t="inlineStr">
        <is>
          <t>Assets/Prefabs/Enemies/Enemy 1.prefab</t>
        </is>
      </c>
      <c r="B148" s="7" t="inlineStr">
        <is>
          <t>Enemy 1</t>
        </is>
      </c>
      <c r="C148" s="7" t="inlineStr">
        <is>
          <t>EnemyMovement</t>
        </is>
      </c>
      <c r="D148" s="7" t="inlineStr">
        <is>
          <t>attackCooldown</t>
        </is>
      </c>
      <c r="E148" s="7" t="n">
        <v>1.5</v>
      </c>
    </row>
    <row r="149">
      <c r="A149" s="7" t="inlineStr">
        <is>
          <t>Assets/Prefabs/Enemies/Enemy 1.prefab</t>
        </is>
      </c>
      <c r="B149" s="7" t="inlineStr">
        <is>
          <t>Enemy 1</t>
        </is>
      </c>
      <c r="C149" s="7" t="inlineStr">
        <is>
          <t>EnemyMovement</t>
        </is>
      </c>
      <c r="D149" s="7" t="inlineStr">
        <is>
          <t>lungeDrag</t>
        </is>
      </c>
      <c r="E149" s="7" t="n">
        <v>5</v>
      </c>
    </row>
    <row r="150">
      <c r="A150" s="7" t="inlineStr">
        <is>
          <t>Assets/Prefabs/Enemies/Enemy 1.prefab</t>
        </is>
      </c>
      <c r="B150" s="7" t="inlineStr">
        <is>
          <t>Enemy 1</t>
        </is>
      </c>
      <c r="C150" s="7" t="inlineStr">
        <is>
          <t>EnemyMovement</t>
        </is>
      </c>
      <c r="D150" s="7" t="inlineStr">
        <is>
          <t>squashAmount</t>
        </is>
      </c>
      <c r="E150" s="7" t="n">
        <v>1.2</v>
      </c>
    </row>
    <row r="151">
      <c r="A151" s="7" t="inlineStr">
        <is>
          <t>Assets/Prefabs/Enemies/Enemy 1.prefab</t>
        </is>
      </c>
      <c r="B151" s="7" t="inlineStr">
        <is>
          <t>Enemy 1</t>
        </is>
      </c>
      <c r="C151" s="7" t="inlineStr">
        <is>
          <t>EnemyMovement</t>
        </is>
      </c>
      <c r="D151" s="7" t="inlineStr">
        <is>
          <t>separationRadius</t>
        </is>
      </c>
      <c r="E151" s="7" t="n">
        <v>1</v>
      </c>
    </row>
    <row r="152">
      <c r="A152" s="7" t="inlineStr">
        <is>
          <t>Assets/Prefabs/Enemies/Enemy 1.prefab</t>
        </is>
      </c>
      <c r="B152" s="7" t="inlineStr">
        <is>
          <t>Enemy 1</t>
        </is>
      </c>
      <c r="C152" s="7" t="inlineStr">
        <is>
          <t>EnemyMovement</t>
        </is>
      </c>
      <c r="D152" s="7" t="inlineStr">
        <is>
          <t>separationForce</t>
        </is>
      </c>
      <c r="E152" s="7" t="n">
        <v>3</v>
      </c>
    </row>
    <row r="153">
      <c r="A153" s="7" t="inlineStr">
        <is>
          <t>Assets/Prefabs/Enemies/Enemy 1.prefab</t>
        </is>
      </c>
      <c r="B153" s="7" t="inlineStr">
        <is>
          <t>Enemy 1</t>
        </is>
      </c>
      <c r="C153" s="7" t="inlineStr">
        <is>
          <t>EnemyDeath</t>
        </is>
      </c>
      <c r="D153" s="7" t="inlineStr">
        <is>
          <t>leaveCorpse</t>
        </is>
      </c>
      <c r="E153" s="7" t="n">
        <v>1</v>
      </c>
    </row>
    <row r="154">
      <c r="A154" s="7" t="inlineStr">
        <is>
          <t>Assets/Prefabs/Enemies/Enemy 1.prefab</t>
        </is>
      </c>
      <c r="B154" s="7" t="inlineStr">
        <is>
          <t>Enemy 1</t>
        </is>
      </c>
      <c r="C154" s="7" t="inlineStr">
        <is>
          <t>EnemyDeath</t>
        </is>
      </c>
      <c r="D154" s="7" t="inlineStr">
        <is>
          <t>corpseLifetime</t>
        </is>
      </c>
      <c r="E154" s="7" t="n">
        <v>5</v>
      </c>
    </row>
    <row r="155">
      <c r="A155" s="7" t="inlineStr">
        <is>
          <t>Assets/Prefabs/Enemies/Enemy 1.prefab</t>
        </is>
      </c>
      <c r="B155" s="7" t="inlineStr">
        <is>
          <t>Enemy 1</t>
        </is>
      </c>
      <c r="C155" s="7" t="inlineStr">
        <is>
          <t>EnemyDeath</t>
        </is>
      </c>
      <c r="D155" s="7" t="inlineStr">
        <is>
          <t>corpseAlpha</t>
        </is>
      </c>
      <c r="E155" s="7" t="n">
        <v>0.8</v>
      </c>
    </row>
    <row r="156">
      <c r="A156" s="7" t="inlineStr">
        <is>
          <t>Assets/Prefabs/Enemies/Enemy 1.prefab</t>
        </is>
      </c>
      <c r="B156" s="7" t="inlineStr">
        <is>
          <t>Enemy 1</t>
        </is>
      </c>
      <c r="C156" s="7" t="inlineStr">
        <is>
          <t>EnemyDeath</t>
        </is>
      </c>
      <c r="D156" s="7" t="inlineStr">
        <is>
          <t>deathEffectDuration</t>
        </is>
      </c>
      <c r="E156" s="7" t="n">
        <v>2</v>
      </c>
    </row>
    <row r="157">
      <c r="A157" s="7" t="inlineStr">
        <is>
          <t>Assets/Prefabs/Enemies/Enemy 1.prefab</t>
        </is>
      </c>
      <c r="B157" s="7" t="inlineStr">
        <is>
          <t>Enemy 1</t>
        </is>
      </c>
      <c r="C157" s="7" t="inlineStr">
        <is>
          <t>EnemyDeath</t>
        </is>
      </c>
      <c r="D157" s="7" t="inlineStr">
        <is>
          <t>disableAllScripts</t>
        </is>
      </c>
      <c r="E157" s="7" t="n">
        <v>1</v>
      </c>
    </row>
    <row r="158">
      <c r="A158" s="7" t="inlineStr">
        <is>
          <t>Assets/Prefabs/Enemies/Enemy 1.prefab</t>
        </is>
      </c>
      <c r="B158" s="7" t="inlineStr">
        <is>
          <t>Enemy 1</t>
        </is>
      </c>
      <c r="C158" s="7" t="inlineStr">
        <is>
          <t>EnemyHitboxSetup</t>
        </is>
      </c>
      <c r="D158" s="7" t="inlineStr">
        <is>
          <t>hitboxRadius</t>
        </is>
      </c>
      <c r="E158" s="7" t="n">
        <v>0.76</v>
      </c>
    </row>
    <row r="159">
      <c r="A159" s="7" t="inlineStr">
        <is>
          <t>Assets/Prefabs/Enemies/Enemy 1.prefab</t>
        </is>
      </c>
      <c r="B159" s="7" t="inlineStr">
        <is>
          <t>Enemy 1</t>
        </is>
      </c>
      <c r="C159" s="7" t="inlineStr">
        <is>
          <t>EnemyHitboxSetup</t>
        </is>
      </c>
      <c r="D159" s="7" t="inlineStr">
        <is>
          <t>hitboxOffset</t>
        </is>
      </c>
      <c r="E159" s="7" t="inlineStr">
        <is>
          <t>(0, 0)</t>
        </is>
      </c>
    </row>
    <row r="160">
      <c r="A160" s="7" t="inlineStr">
        <is>
          <t>Assets/Prefabs/Enemies/Enemy 2.prefab</t>
        </is>
      </c>
      <c r="B160" s="7" t="inlineStr">
        <is>
          <t>Enemy 2</t>
        </is>
      </c>
      <c r="C160" s="7" t="inlineStr">
        <is>
          <t>Enemy</t>
        </is>
      </c>
      <c r="D160" s="7" t="inlineStr">
        <is>
          <t>maxHealth</t>
        </is>
      </c>
      <c r="E160" s="7" t="n">
        <v>100</v>
      </c>
    </row>
    <row r="161">
      <c r="A161" s="7" t="inlineStr">
        <is>
          <t>Assets/Prefabs/Enemies/Enemy 2.prefab</t>
        </is>
      </c>
      <c r="B161" s="7" t="inlineStr">
        <is>
          <t>Enemy 2</t>
        </is>
      </c>
      <c r="C161" s="7" t="inlineStr">
        <is>
          <t>Enemy</t>
        </is>
      </c>
      <c r="D161" s="7" t="inlineStr">
        <is>
          <t>knockbackStrength</t>
        </is>
      </c>
      <c r="E161" s="7" t="n">
        <v>25</v>
      </c>
    </row>
    <row r="162">
      <c r="A162" s="7" t="inlineStr">
        <is>
          <t>Assets/Prefabs/Enemies/Enemy 2.prefab</t>
        </is>
      </c>
      <c r="B162" s="7" t="inlineStr">
        <is>
          <t>Enemy 2</t>
        </is>
      </c>
      <c r="C162" s="7" t="inlineStr">
        <is>
          <t>Enemy</t>
        </is>
      </c>
      <c r="D162" s="7" t="inlineStr">
        <is>
          <t>flashDuration</t>
        </is>
      </c>
      <c r="E162" s="7" t="n">
        <v>0.1</v>
      </c>
    </row>
    <row r="163">
      <c r="A163" s="7" t="inlineStr">
        <is>
          <t>Assets/Prefabs/Enemies/Enemy 2.prefab</t>
        </is>
      </c>
      <c r="B163" s="7" t="inlineStr">
        <is>
          <t>Enemy 2</t>
        </is>
      </c>
      <c r="C163" s="7" t="inlineStr">
        <is>
          <t>Enemy</t>
        </is>
      </c>
      <c r="D163" s="7" t="inlineStr">
        <is>
          <t>coinPrefab</t>
        </is>
      </c>
      <c r="E163" s="7" t="inlineStr">
        <is>
          <t>-&gt;Coin</t>
        </is>
      </c>
    </row>
    <row r="164">
      <c r="A164" s="7" t="inlineStr">
        <is>
          <t>Assets/Prefabs/Enemies/Enemy 2.prefab</t>
        </is>
      </c>
      <c r="B164" s="7" t="inlineStr">
        <is>
          <t>Enemy 2</t>
        </is>
      </c>
      <c r="C164" s="7" t="inlineStr">
        <is>
          <t>Enemy</t>
        </is>
      </c>
      <c r="D164" s="7" t="inlineStr">
        <is>
          <t>minCoins</t>
        </is>
      </c>
      <c r="E164" s="7" t="n">
        <v>1</v>
      </c>
    </row>
    <row r="165">
      <c r="A165" s="7" t="inlineStr">
        <is>
          <t>Assets/Prefabs/Enemies/Enemy 2.prefab</t>
        </is>
      </c>
      <c r="B165" s="7" t="inlineStr">
        <is>
          <t>Enemy 2</t>
        </is>
      </c>
      <c r="C165" s="7" t="inlineStr">
        <is>
          <t>Enemy</t>
        </is>
      </c>
      <c r="D165" s="7" t="inlineStr">
        <is>
          <t>maxCoins</t>
        </is>
      </c>
      <c r="E165" s="7" t="n">
        <v>3</v>
      </c>
    </row>
    <row r="166">
      <c r="A166" s="7" t="inlineStr">
        <is>
          <t>Assets/Prefabs/Enemies/Enemy 2.prefab</t>
        </is>
      </c>
      <c r="B166" s="7" t="inlineStr">
        <is>
          <t>Enemy 2</t>
        </is>
      </c>
      <c r="C166" s="7" t="inlineStr">
        <is>
          <t>Enemy</t>
        </is>
      </c>
      <c r="D166" s="7" t="inlineStr">
        <is>
          <t>coinDropForce</t>
        </is>
      </c>
      <c r="E166" s="7" t="n">
        <v>3</v>
      </c>
    </row>
    <row r="167">
      <c r="A167" s="7" t="inlineStr">
        <is>
          <t>Assets/Prefabs/Enemies/Enemy 2.prefab</t>
        </is>
      </c>
      <c r="B167" s="7" t="inlineStr">
        <is>
          <t>Enemy 2</t>
        </is>
      </c>
      <c r="C167" s="7" t="inlineStr">
        <is>
          <t>Enemy</t>
        </is>
      </c>
      <c r="D167" s="7" t="inlineStr">
        <is>
          <t>coinSpreadRadius</t>
        </is>
      </c>
      <c r="E167" s="7" t="n">
        <v>0.5</v>
      </c>
    </row>
    <row r="168">
      <c r="A168" s="7" t="inlineStr">
        <is>
          <t>Assets/Prefabs/Enemies/Enemy 2.prefab</t>
        </is>
      </c>
      <c r="B168" s="7" t="inlineStr">
        <is>
          <t>Enemy 2</t>
        </is>
      </c>
      <c r="C168" s="7" t="inlineStr">
        <is>
          <t>Enemy</t>
        </is>
      </c>
      <c r="D168" s="7" t="inlineStr">
        <is>
          <t>attackDamage</t>
        </is>
      </c>
      <c r="E168" s="7" t="n">
        <v>25</v>
      </c>
    </row>
    <row r="169">
      <c r="A169" s="7" t="inlineStr">
        <is>
          <t>Assets/Prefabs/Enemies/Enemy 2.prefab</t>
        </is>
      </c>
      <c r="B169" s="7" t="inlineStr">
        <is>
          <t>Enemy 2</t>
        </is>
      </c>
      <c r="C169" s="7" t="inlineStr">
        <is>
          <t>Enemy</t>
        </is>
      </c>
      <c r="D169" s="7" t="inlineStr">
        <is>
          <t>attackCooldown</t>
        </is>
      </c>
      <c r="E169" s="7" t="n">
        <v>1.5</v>
      </c>
    </row>
    <row r="170">
      <c r="A170" s="7" t="inlineStr">
        <is>
          <t>Assets/Prefabs/Enemies/Enemy 2.prefab</t>
        </is>
      </c>
      <c r="B170" s="7" t="inlineStr">
        <is>
          <t>Enemy 2</t>
        </is>
      </c>
      <c r="C170" s="7" t="inlineStr">
        <is>
          <t>EnemyMovement</t>
        </is>
      </c>
      <c r="D170" s="7" t="inlineStr">
        <is>
          <t>speed</t>
        </is>
      </c>
      <c r="E170" s="7" t="n">
        <v>4</v>
      </c>
    </row>
    <row r="171">
      <c r="A171" s="7" t="inlineStr">
        <is>
          <t>Assets/Prefabs/Enemies/Enemy 2.prefab</t>
        </is>
      </c>
      <c r="B171" s="7" t="inlineStr">
        <is>
          <t>Enemy 2</t>
        </is>
      </c>
      <c r="C171" s="7" t="inlineStr">
        <is>
          <t>EnemyMovement</t>
        </is>
      </c>
      <c r="D171" s="7" t="inlineStr">
        <is>
          <t>rotationSpeed</t>
        </is>
      </c>
      <c r="E171" s="7" t="n">
        <v>5</v>
      </c>
    </row>
    <row r="172">
      <c r="A172" s="7" t="inlineStr">
        <is>
          <t>Assets/Prefabs/Enemies/Enemy 2.prefab</t>
        </is>
      </c>
      <c r="B172" s="7" t="inlineStr">
        <is>
          <t>Enemy 2</t>
        </is>
      </c>
      <c r="C172" s="7" t="inlineStr">
        <is>
          <t>EnemyMovement</t>
        </is>
      </c>
      <c r="D172" s="7" t="inlineStr">
        <is>
          <t>attackTriggerDistance</t>
        </is>
      </c>
      <c r="E172" s="7" t="n">
        <v>3</v>
      </c>
    </row>
    <row r="173">
      <c r="A173" s="7" t="inlineStr">
        <is>
          <t>Assets/Prefabs/Enemies/Enemy 2.prefab</t>
        </is>
      </c>
      <c r="B173" s="7" t="inlineStr">
        <is>
          <t>Enemy 2</t>
        </is>
      </c>
      <c r="C173" s="7" t="inlineStr">
        <is>
          <t>EnemyMovement</t>
        </is>
      </c>
      <c r="D173" s="7" t="inlineStr">
        <is>
          <t>windupDistance</t>
        </is>
      </c>
      <c r="E173" s="7" t="n">
        <v>0.5</v>
      </c>
    </row>
    <row r="174">
      <c r="A174" s="7" t="inlineStr">
        <is>
          <t>Assets/Prefabs/Enemies/Enemy 2.prefab</t>
        </is>
      </c>
      <c r="B174" s="7" t="inlineStr">
        <is>
          <t>Enemy 2</t>
        </is>
      </c>
      <c r="C174" s="7" t="inlineStr">
        <is>
          <t>EnemyMovement</t>
        </is>
      </c>
      <c r="D174" s="7" t="inlineStr">
        <is>
          <t>lungeForce</t>
        </is>
      </c>
      <c r="E174" s="7" t="n">
        <v>15</v>
      </c>
    </row>
    <row r="175">
      <c r="A175" s="7" t="inlineStr">
        <is>
          <t>Assets/Prefabs/Enemies/Enemy 2.prefab</t>
        </is>
      </c>
      <c r="B175" s="7" t="inlineStr">
        <is>
          <t>Enemy 2</t>
        </is>
      </c>
      <c r="C175" s="7" t="inlineStr">
        <is>
          <t>EnemyMovement</t>
        </is>
      </c>
      <c r="D175" s="7" t="inlineStr">
        <is>
          <t>attackCooldown</t>
        </is>
      </c>
      <c r="E175" s="7" t="n">
        <v>1.5</v>
      </c>
    </row>
    <row r="176">
      <c r="A176" s="7" t="inlineStr">
        <is>
          <t>Assets/Prefabs/Enemies/Enemy 2.prefab</t>
        </is>
      </c>
      <c r="B176" s="7" t="inlineStr">
        <is>
          <t>Enemy 2</t>
        </is>
      </c>
      <c r="C176" s="7" t="inlineStr">
        <is>
          <t>EnemyMovement</t>
        </is>
      </c>
      <c r="D176" s="7" t="inlineStr">
        <is>
          <t>lungeDrag</t>
        </is>
      </c>
      <c r="E176" s="7" t="n">
        <v>5</v>
      </c>
    </row>
    <row r="177">
      <c r="A177" s="7" t="inlineStr">
        <is>
          <t>Assets/Prefabs/Enemies/Enemy 2.prefab</t>
        </is>
      </c>
      <c r="B177" s="7" t="inlineStr">
        <is>
          <t>Enemy 2</t>
        </is>
      </c>
      <c r="C177" s="7" t="inlineStr">
        <is>
          <t>EnemyMovement</t>
        </is>
      </c>
      <c r="D177" s="7" t="inlineStr">
        <is>
          <t>squashAmount</t>
        </is>
      </c>
      <c r="E177" s="7" t="n">
        <v>0.7</v>
      </c>
    </row>
    <row r="178">
      <c r="A178" s="7" t="inlineStr">
        <is>
          <t>Assets/Prefabs/Enemies/Enemy 2.prefab</t>
        </is>
      </c>
      <c r="B178" s="7" t="inlineStr">
        <is>
          <t>Enemy 2</t>
        </is>
      </c>
      <c r="C178" s="7" t="inlineStr">
        <is>
          <t>EnemyMovement</t>
        </is>
      </c>
      <c r="D178" s="7" t="inlineStr">
        <is>
          <t>separationRadius</t>
        </is>
      </c>
      <c r="E178" s="7" t="n">
        <v>0.4</v>
      </c>
    </row>
    <row r="179">
      <c r="A179" s="7" t="inlineStr">
        <is>
          <t>Assets/Prefabs/Enemies/Enemy 2.prefab</t>
        </is>
      </c>
      <c r="B179" s="7" t="inlineStr">
        <is>
          <t>Enemy 2</t>
        </is>
      </c>
      <c r="C179" s="7" t="inlineStr">
        <is>
          <t>EnemyMovement</t>
        </is>
      </c>
      <c r="D179" s="7" t="inlineStr">
        <is>
          <t>separationForce</t>
        </is>
      </c>
      <c r="E179" s="7" t="n">
        <v>3</v>
      </c>
    </row>
    <row r="180">
      <c r="A180" s="7" t="inlineStr">
        <is>
          <t>Assets/Prefabs/Enemies/Enemy 2.prefab</t>
        </is>
      </c>
      <c r="B180" s="7" t="inlineStr">
        <is>
          <t>Enemy 2</t>
        </is>
      </c>
      <c r="C180" s="7" t="inlineStr">
        <is>
          <t>EnemyDeath</t>
        </is>
      </c>
      <c r="D180" s="7" t="inlineStr">
        <is>
          <t>leaveCorpse</t>
        </is>
      </c>
      <c r="E180" s="7" t="n">
        <v>1</v>
      </c>
    </row>
    <row r="181">
      <c r="A181" s="7" t="inlineStr">
        <is>
          <t>Assets/Prefabs/Enemies/Enemy 2.prefab</t>
        </is>
      </c>
      <c r="B181" s="7" t="inlineStr">
        <is>
          <t>Enemy 2</t>
        </is>
      </c>
      <c r="C181" s="7" t="inlineStr">
        <is>
          <t>EnemyDeath</t>
        </is>
      </c>
      <c r="D181" s="7" t="inlineStr">
        <is>
          <t>corpseLifetime</t>
        </is>
      </c>
      <c r="E181" s="7" t="n">
        <v>5</v>
      </c>
    </row>
    <row r="182">
      <c r="A182" s="7" t="inlineStr">
        <is>
          <t>Assets/Prefabs/Enemies/Enemy 2.prefab</t>
        </is>
      </c>
      <c r="B182" s="7" t="inlineStr">
        <is>
          <t>Enemy 2</t>
        </is>
      </c>
      <c r="C182" s="7" t="inlineStr">
        <is>
          <t>EnemyDeath</t>
        </is>
      </c>
      <c r="D182" s="7" t="inlineStr">
        <is>
          <t>corpseAlpha</t>
        </is>
      </c>
      <c r="E182" s="7" t="n">
        <v>0.8</v>
      </c>
    </row>
    <row r="183">
      <c r="A183" s="7" t="inlineStr">
        <is>
          <t>Assets/Prefabs/Enemies/Enemy 2.prefab</t>
        </is>
      </c>
      <c r="B183" s="7" t="inlineStr">
        <is>
          <t>Enemy 2</t>
        </is>
      </c>
      <c r="C183" s="7" t="inlineStr">
        <is>
          <t>EnemyDeath</t>
        </is>
      </c>
      <c r="D183" s="7" t="inlineStr">
        <is>
          <t>deathEffectDuration</t>
        </is>
      </c>
      <c r="E183" s="7" t="n">
        <v>2</v>
      </c>
    </row>
    <row r="184">
      <c r="A184" s="7" t="inlineStr">
        <is>
          <t>Assets/Prefabs/Enemies/Enemy 2.prefab</t>
        </is>
      </c>
      <c r="B184" s="7" t="inlineStr">
        <is>
          <t>Enemy 2</t>
        </is>
      </c>
      <c r="C184" s="7" t="inlineStr">
        <is>
          <t>EnemyDeath</t>
        </is>
      </c>
      <c r="D184" s="7" t="inlineStr">
        <is>
          <t>disableAllScripts</t>
        </is>
      </c>
      <c r="E184" s="7" t="n">
        <v>1</v>
      </c>
    </row>
    <row r="185">
      <c r="A185" s="7" t="inlineStr">
        <is>
          <t>Assets/Prefabs/Enemies/Enemy 2.prefab</t>
        </is>
      </c>
      <c r="B185" s="7" t="inlineStr">
        <is>
          <t>Enemy 2</t>
        </is>
      </c>
      <c r="C185" s="7" t="inlineStr">
        <is>
          <t>JumpFloodPathfinding</t>
        </is>
      </c>
      <c r="D185" s="7" t="inlineStr">
        <is>
          <t>gridWidth</t>
        </is>
      </c>
      <c r="E185" s="7" t="n">
        <v>30</v>
      </c>
    </row>
    <row r="186">
      <c r="A186" s="7" t="inlineStr">
        <is>
          <t>Assets/Prefabs/Enemies/Enemy 2.prefab</t>
        </is>
      </c>
      <c r="B186" s="7" t="inlineStr">
        <is>
          <t>Enemy 2</t>
        </is>
      </c>
      <c r="C186" s="7" t="inlineStr">
        <is>
          <t>JumpFloodPathfinding</t>
        </is>
      </c>
      <c r="D186" s="7" t="inlineStr">
        <is>
          <t>gridHeight</t>
        </is>
      </c>
      <c r="E186" s="7" t="n">
        <v>30</v>
      </c>
    </row>
    <row r="187">
      <c r="A187" s="7" t="inlineStr">
        <is>
          <t>Assets/Prefabs/Enemies/Enemy 2.prefab</t>
        </is>
      </c>
      <c r="B187" s="7" t="inlineStr">
        <is>
          <t>Enemy 2</t>
        </is>
      </c>
      <c r="C187" s="7" t="inlineStr">
        <is>
          <t>JumpFloodPathfinding</t>
        </is>
      </c>
      <c r="D187" s="7" t="inlineStr">
        <is>
          <t>cellSize</t>
        </is>
      </c>
      <c r="E187" s="7" t="n">
        <v>1</v>
      </c>
    </row>
    <row r="188">
      <c r="A188" s="7" t="inlineStr">
        <is>
          <t>Assets/Prefabs/Enemies/Enemy 2.prefab</t>
        </is>
      </c>
      <c r="B188" s="7" t="inlineStr">
        <is>
          <t>Enemy 2</t>
        </is>
      </c>
      <c r="C188" s="7" t="inlineStr">
        <is>
          <t>JumpFloodPathfinding</t>
        </is>
      </c>
      <c r="D188" s="7" t="inlineStr">
        <is>
          <t>gridOrigin</t>
        </is>
      </c>
      <c r="E188" s="7" t="inlineStr">
        <is>
          <t>(0, 0)</t>
        </is>
      </c>
    </row>
    <row r="189">
      <c r="A189" s="7" t="inlineStr">
        <is>
          <t>Assets/Prefabs/Enemies/Enemy 2.prefab</t>
        </is>
      </c>
      <c r="B189" s="7" t="inlineStr">
        <is>
          <t>Enemy 2</t>
        </is>
      </c>
      <c r="C189" s="7" t="inlineStr">
        <is>
          <t>JumpFloodPathfinding</t>
        </is>
      </c>
      <c r="D189" s="7" t="inlineStr">
        <is>
          <t>updateInterval</t>
        </is>
      </c>
      <c r="E189" s="7" t="n">
        <v>0.5</v>
      </c>
    </row>
    <row r="190">
      <c r="A190" s="7" t="inlineStr">
        <is>
          <t>Assets/Prefabs/Enemies/Enemy 2.prefab</t>
        </is>
      </c>
      <c r="B190" s="7" t="inlineStr">
        <is>
          <t>Enemy 2</t>
        </is>
      </c>
      <c r="C190" s="7" t="inlineStr">
        <is>
          <t>JumpFloodPathfinding</t>
        </is>
      </c>
      <c r="D190" s="7" t="inlineStr">
        <is>
          <t>jumpFloodIterations</t>
        </is>
      </c>
      <c r="E190" s="7" t="n">
        <v>4</v>
      </c>
    </row>
    <row r="191">
      <c r="A191" s="7" t="inlineStr">
        <is>
          <t>Assets/Prefabs/Enemies/Enemy 2.prefab</t>
        </is>
      </c>
      <c r="B191" s="7" t="inlineStr">
        <is>
          <t>Enemy 2</t>
        </is>
      </c>
      <c r="C191" s="7" t="inlineStr">
        <is>
          <t>JumpFloodPathfinding</t>
        </is>
      </c>
      <c r="D191" s="7" t="inlineStr">
        <is>
          <t>showFlowField</t>
        </is>
      </c>
      <c r="E191" s="7" t="n">
        <v>0</v>
      </c>
    </row>
    <row r="192">
      <c r="A192" s="7" t="inlineStr">
        <is>
          <t>Assets/Prefabs/Enemies/Enemy 2.prefab</t>
        </is>
      </c>
      <c r="B192" s="7" t="inlineStr">
        <is>
          <t>Enemy 2</t>
        </is>
      </c>
      <c r="C192" s="7" t="inlineStr">
        <is>
          <t>EnemyHitboxSetup</t>
        </is>
      </c>
      <c r="D192" s="7" t="inlineStr">
        <is>
          <t>hitboxRadius</t>
        </is>
      </c>
      <c r="E192" s="7" t="n">
        <v>0.47</v>
      </c>
    </row>
    <row r="193">
      <c r="A193" s="7" t="inlineStr">
        <is>
          <t>Assets/Prefabs/Enemies/Enemy 2.prefab</t>
        </is>
      </c>
      <c r="B193" s="7" t="inlineStr">
        <is>
          <t>Enemy 2</t>
        </is>
      </c>
      <c r="C193" s="7" t="inlineStr">
        <is>
          <t>EnemyHitboxSetup</t>
        </is>
      </c>
      <c r="D193" s="7" t="inlineStr">
        <is>
          <t>hitboxOffset</t>
        </is>
      </c>
      <c r="E193" s="7" t="inlineStr">
        <is>
          <t>(0, 0)</t>
        </is>
      </c>
    </row>
    <row r="194">
      <c r="A194" s="7" t="inlineStr">
        <is>
          <t>Assets/Prefabs/Enemies/Enemy 3.prefab</t>
        </is>
      </c>
      <c r="B194" s="7" t="inlineStr">
        <is>
          <t>Enemy 3</t>
        </is>
      </c>
      <c r="C194" s="7" t="inlineStr">
        <is>
          <t>Enemy</t>
        </is>
      </c>
      <c r="D194" s="7" t="inlineStr">
        <is>
          <t>maxHealth</t>
        </is>
      </c>
      <c r="E194" s="7" t="n">
        <v>150</v>
      </c>
    </row>
    <row r="195">
      <c r="A195" s="7" t="inlineStr">
        <is>
          <t>Assets/Prefabs/Enemies/Enemy 3.prefab</t>
        </is>
      </c>
      <c r="B195" s="7" t="inlineStr">
        <is>
          <t>Enemy 3</t>
        </is>
      </c>
      <c r="C195" s="7" t="inlineStr">
        <is>
          <t>Enemy</t>
        </is>
      </c>
      <c r="D195" s="7" t="inlineStr">
        <is>
          <t>knockbackStrength</t>
        </is>
      </c>
      <c r="E195" s="7" t="n">
        <v>25</v>
      </c>
    </row>
    <row r="196">
      <c r="A196" s="7" t="inlineStr">
        <is>
          <t>Assets/Prefabs/Enemies/Enemy 3.prefab</t>
        </is>
      </c>
      <c r="B196" s="7" t="inlineStr">
        <is>
          <t>Enemy 3</t>
        </is>
      </c>
      <c r="C196" s="7" t="inlineStr">
        <is>
          <t>Enemy</t>
        </is>
      </c>
      <c r="D196" s="7" t="inlineStr">
        <is>
          <t>flashDuration</t>
        </is>
      </c>
      <c r="E196" s="7" t="n">
        <v>0.1</v>
      </c>
    </row>
    <row r="197">
      <c r="A197" s="7" t="inlineStr">
        <is>
          <t>Assets/Prefabs/Enemies/Enemy 3.prefab</t>
        </is>
      </c>
      <c r="B197" s="7" t="inlineStr">
        <is>
          <t>Enemy 3</t>
        </is>
      </c>
      <c r="C197" s="7" t="inlineStr">
        <is>
          <t>Enemy</t>
        </is>
      </c>
      <c r="D197" s="7" t="inlineStr">
        <is>
          <t>coinPrefab</t>
        </is>
      </c>
      <c r="E197" s="7" t="inlineStr">
        <is>
          <t>-&gt;Coin</t>
        </is>
      </c>
    </row>
    <row r="198">
      <c r="A198" s="7" t="inlineStr">
        <is>
          <t>Assets/Prefabs/Enemies/Enemy 3.prefab</t>
        </is>
      </c>
      <c r="B198" s="7" t="inlineStr">
        <is>
          <t>Enemy 3</t>
        </is>
      </c>
      <c r="C198" s="7" t="inlineStr">
        <is>
          <t>Enemy</t>
        </is>
      </c>
      <c r="D198" s="7" t="inlineStr">
        <is>
          <t>minCoins</t>
        </is>
      </c>
      <c r="E198" s="7" t="n">
        <v>1</v>
      </c>
    </row>
    <row r="199">
      <c r="A199" s="7" t="inlineStr">
        <is>
          <t>Assets/Prefabs/Enemies/Enemy 3.prefab</t>
        </is>
      </c>
      <c r="B199" s="7" t="inlineStr">
        <is>
          <t>Enemy 3</t>
        </is>
      </c>
      <c r="C199" s="7" t="inlineStr">
        <is>
          <t>Enemy</t>
        </is>
      </c>
      <c r="D199" s="7" t="inlineStr">
        <is>
          <t>maxCoins</t>
        </is>
      </c>
      <c r="E199" s="7" t="n">
        <v>3</v>
      </c>
    </row>
    <row r="200">
      <c r="A200" s="7" t="inlineStr">
        <is>
          <t>Assets/Prefabs/Enemies/Enemy 3.prefab</t>
        </is>
      </c>
      <c r="B200" s="7" t="inlineStr">
        <is>
          <t>Enemy 3</t>
        </is>
      </c>
      <c r="C200" s="7" t="inlineStr">
        <is>
          <t>Enemy</t>
        </is>
      </c>
      <c r="D200" s="7" t="inlineStr">
        <is>
          <t>coinDropForce</t>
        </is>
      </c>
      <c r="E200" s="7" t="n">
        <v>3</v>
      </c>
    </row>
    <row r="201">
      <c r="A201" s="7" t="inlineStr">
        <is>
          <t>Assets/Prefabs/Enemies/Enemy 3.prefab</t>
        </is>
      </c>
      <c r="B201" s="7" t="inlineStr">
        <is>
          <t>Enemy 3</t>
        </is>
      </c>
      <c r="C201" s="7" t="inlineStr">
        <is>
          <t>Enemy</t>
        </is>
      </c>
      <c r="D201" s="7" t="inlineStr">
        <is>
          <t>coinSpreadRadius</t>
        </is>
      </c>
      <c r="E201" s="7" t="n">
        <v>0.5</v>
      </c>
    </row>
    <row r="202">
      <c r="A202" s="7" t="inlineStr">
        <is>
          <t>Assets/Prefabs/Enemies/Enemy 3.prefab</t>
        </is>
      </c>
      <c r="B202" s="7" t="inlineStr">
        <is>
          <t>Enemy 3</t>
        </is>
      </c>
      <c r="C202" s="7" t="inlineStr">
        <is>
          <t>Enemy</t>
        </is>
      </c>
      <c r="D202" s="7" t="inlineStr">
        <is>
          <t>attackDamage</t>
        </is>
      </c>
      <c r="E202" s="7" t="n">
        <v>25</v>
      </c>
    </row>
    <row r="203">
      <c r="A203" s="7" t="inlineStr">
        <is>
          <t>Assets/Prefabs/Enemies/Enemy 3.prefab</t>
        </is>
      </c>
      <c r="B203" s="7" t="inlineStr">
        <is>
          <t>Enemy 3</t>
        </is>
      </c>
      <c r="C203" s="7" t="inlineStr">
        <is>
          <t>Enemy</t>
        </is>
      </c>
      <c r="D203" s="7" t="inlineStr">
        <is>
          <t>attackCooldown</t>
        </is>
      </c>
      <c r="E203" s="7" t="n">
        <v>1.5</v>
      </c>
    </row>
    <row r="204">
      <c r="A204" s="7" t="inlineStr">
        <is>
          <t>Assets/Prefabs/Enemies/Enemy 3.prefab</t>
        </is>
      </c>
      <c r="B204" s="7" t="inlineStr">
        <is>
          <t>Enemy 3</t>
        </is>
      </c>
      <c r="C204" s="7" t="inlineStr">
        <is>
          <t>EnemyMovement</t>
        </is>
      </c>
      <c r="D204" s="7" t="inlineStr">
        <is>
          <t>speed</t>
        </is>
      </c>
      <c r="E204" s="7" t="n">
        <v>4</v>
      </c>
    </row>
    <row r="205">
      <c r="A205" s="7" t="inlineStr">
        <is>
          <t>Assets/Prefabs/Enemies/Enemy 3.prefab</t>
        </is>
      </c>
      <c r="B205" s="7" t="inlineStr">
        <is>
          <t>Enemy 3</t>
        </is>
      </c>
      <c r="C205" s="7" t="inlineStr">
        <is>
          <t>EnemyMovement</t>
        </is>
      </c>
      <c r="D205" s="7" t="inlineStr">
        <is>
          <t>rotationSpeed</t>
        </is>
      </c>
      <c r="E205" s="7" t="n">
        <v>5</v>
      </c>
    </row>
    <row r="206">
      <c r="A206" s="7" t="inlineStr">
        <is>
          <t>Assets/Prefabs/Enemies/Enemy 3.prefab</t>
        </is>
      </c>
      <c r="B206" s="7" t="inlineStr">
        <is>
          <t>Enemy 3</t>
        </is>
      </c>
      <c r="C206" s="7" t="inlineStr">
        <is>
          <t>EnemyMovement</t>
        </is>
      </c>
      <c r="D206" s="7" t="inlineStr">
        <is>
          <t>attackTriggerDistance</t>
        </is>
      </c>
      <c r="E206" s="7" t="n">
        <v>3</v>
      </c>
    </row>
    <row r="207">
      <c r="A207" s="7" t="inlineStr">
        <is>
          <t>Assets/Prefabs/Enemies/Enemy 3.prefab</t>
        </is>
      </c>
      <c r="B207" s="7" t="inlineStr">
        <is>
          <t>Enemy 3</t>
        </is>
      </c>
      <c r="C207" s="7" t="inlineStr">
        <is>
          <t>EnemyMovement</t>
        </is>
      </c>
      <c r="D207" s="7" t="inlineStr">
        <is>
          <t>windupDistance</t>
        </is>
      </c>
      <c r="E207" s="7" t="n">
        <v>0.5</v>
      </c>
    </row>
    <row r="208">
      <c r="A208" s="7" t="inlineStr">
        <is>
          <t>Assets/Prefabs/Enemies/Enemy 3.prefab</t>
        </is>
      </c>
      <c r="B208" s="7" t="inlineStr">
        <is>
          <t>Enemy 3</t>
        </is>
      </c>
      <c r="C208" s="7" t="inlineStr">
        <is>
          <t>EnemyMovement</t>
        </is>
      </c>
      <c r="D208" s="7" t="inlineStr">
        <is>
          <t>lungeForce</t>
        </is>
      </c>
      <c r="E208" s="7" t="n">
        <v>15</v>
      </c>
    </row>
    <row r="209">
      <c r="A209" s="7" t="inlineStr">
        <is>
          <t>Assets/Prefabs/Enemies/Enemy 3.prefab</t>
        </is>
      </c>
      <c r="B209" s="7" t="inlineStr">
        <is>
          <t>Enemy 3</t>
        </is>
      </c>
      <c r="C209" s="7" t="inlineStr">
        <is>
          <t>EnemyMovement</t>
        </is>
      </c>
      <c r="D209" s="7" t="inlineStr">
        <is>
          <t>attackCooldown</t>
        </is>
      </c>
      <c r="E209" s="7" t="n">
        <v>1.5</v>
      </c>
    </row>
    <row r="210">
      <c r="A210" s="7" t="inlineStr">
        <is>
          <t>Assets/Prefabs/Enemies/Enemy 3.prefab</t>
        </is>
      </c>
      <c r="B210" s="7" t="inlineStr">
        <is>
          <t>Enemy 3</t>
        </is>
      </c>
      <c r="C210" s="7" t="inlineStr">
        <is>
          <t>EnemyMovement</t>
        </is>
      </c>
      <c r="D210" s="7" t="inlineStr">
        <is>
          <t>lungeDrag</t>
        </is>
      </c>
      <c r="E210" s="7" t="n">
        <v>5</v>
      </c>
    </row>
    <row r="211">
      <c r="A211" s="7" t="inlineStr">
        <is>
          <t>Assets/Prefabs/Enemies/Enemy 3.prefab</t>
        </is>
      </c>
      <c r="B211" s="7" t="inlineStr">
        <is>
          <t>Enemy 3</t>
        </is>
      </c>
      <c r="C211" s="7" t="inlineStr">
        <is>
          <t>EnemyMovement</t>
        </is>
      </c>
      <c r="D211" s="7" t="inlineStr">
        <is>
          <t>squashAmount</t>
        </is>
      </c>
      <c r="E211" s="7" t="n">
        <v>0.7</v>
      </c>
    </row>
    <row r="212">
      <c r="A212" s="7" t="inlineStr">
        <is>
          <t>Assets/Prefabs/Enemies/Enemy 3.prefab</t>
        </is>
      </c>
      <c r="B212" s="7" t="inlineStr">
        <is>
          <t>Enemy 3</t>
        </is>
      </c>
      <c r="C212" s="7" t="inlineStr">
        <is>
          <t>EnemyMovement</t>
        </is>
      </c>
      <c r="D212" s="7" t="inlineStr">
        <is>
          <t>separationRadius</t>
        </is>
      </c>
      <c r="E212" s="7" t="n">
        <v>1.5</v>
      </c>
    </row>
    <row r="213">
      <c r="A213" s="7" t="inlineStr">
        <is>
          <t>Assets/Prefabs/Enemies/Enemy 3.prefab</t>
        </is>
      </c>
      <c r="B213" s="7" t="inlineStr">
        <is>
          <t>Enemy 3</t>
        </is>
      </c>
      <c r="C213" s="7" t="inlineStr">
        <is>
          <t>EnemyMovement</t>
        </is>
      </c>
      <c r="D213" s="7" t="inlineStr">
        <is>
          <t>separationForce</t>
        </is>
      </c>
      <c r="E213" s="7" t="n">
        <v>3</v>
      </c>
    </row>
    <row r="214">
      <c r="A214" s="7" t="inlineStr">
        <is>
          <t>Assets/Prefabs/Enemies/Enemy 3.prefab</t>
        </is>
      </c>
      <c r="B214" s="7" t="inlineStr">
        <is>
          <t>Enemy 3</t>
        </is>
      </c>
      <c r="C214" s="7" t="inlineStr">
        <is>
          <t>EnemyDeath</t>
        </is>
      </c>
      <c r="D214" s="7" t="inlineStr">
        <is>
          <t>leaveCorpse</t>
        </is>
      </c>
      <c r="E214" s="7" t="n">
        <v>1</v>
      </c>
    </row>
    <row r="215">
      <c r="A215" s="7" t="inlineStr">
        <is>
          <t>Assets/Prefabs/Enemies/Enemy 3.prefab</t>
        </is>
      </c>
      <c r="B215" s="7" t="inlineStr">
        <is>
          <t>Enemy 3</t>
        </is>
      </c>
      <c r="C215" s="7" t="inlineStr">
        <is>
          <t>EnemyDeath</t>
        </is>
      </c>
      <c r="D215" s="7" t="inlineStr">
        <is>
          <t>corpseLifetime</t>
        </is>
      </c>
      <c r="E215" s="7" t="n">
        <v>5</v>
      </c>
    </row>
    <row r="216">
      <c r="A216" s="7" t="inlineStr">
        <is>
          <t>Assets/Prefabs/Enemies/Enemy 3.prefab</t>
        </is>
      </c>
      <c r="B216" s="7" t="inlineStr">
        <is>
          <t>Enemy 3</t>
        </is>
      </c>
      <c r="C216" s="7" t="inlineStr">
        <is>
          <t>EnemyDeath</t>
        </is>
      </c>
      <c r="D216" s="7" t="inlineStr">
        <is>
          <t>corpseAlpha</t>
        </is>
      </c>
      <c r="E216" s="7" t="n">
        <v>0.8</v>
      </c>
    </row>
    <row r="217">
      <c r="A217" s="7" t="inlineStr">
        <is>
          <t>Assets/Prefabs/Enemies/Enemy 3.prefab</t>
        </is>
      </c>
      <c r="B217" s="7" t="inlineStr">
        <is>
          <t>Enemy 3</t>
        </is>
      </c>
      <c r="C217" s="7" t="inlineStr">
        <is>
          <t>EnemyDeath</t>
        </is>
      </c>
      <c r="D217" s="7" t="inlineStr">
        <is>
          <t>deathEffectDuration</t>
        </is>
      </c>
      <c r="E217" s="7" t="n">
        <v>2</v>
      </c>
    </row>
    <row r="218">
      <c r="A218" s="7" t="inlineStr">
        <is>
          <t>Assets/Prefabs/Enemies/Enemy 3.prefab</t>
        </is>
      </c>
      <c r="B218" s="7" t="inlineStr">
        <is>
          <t>Enemy 3</t>
        </is>
      </c>
      <c r="C218" s="7" t="inlineStr">
        <is>
          <t>EnemyDeath</t>
        </is>
      </c>
      <c r="D218" s="7" t="inlineStr">
        <is>
          <t>disableAllScripts</t>
        </is>
      </c>
      <c r="E218" s="7" t="n">
        <v>1</v>
      </c>
    </row>
    <row r="219">
      <c r="A219" s="7" t="inlineStr">
        <is>
          <t>Assets/Prefabs/Enemies/Enemy 3.prefab</t>
        </is>
      </c>
      <c r="B219" s="7" t="inlineStr">
        <is>
          <t>Enemy 3</t>
        </is>
      </c>
      <c r="C219" s="7" t="inlineStr">
        <is>
          <t>EnemyHitboxSetup</t>
        </is>
      </c>
      <c r="D219" s="7" t="inlineStr">
        <is>
          <t>hitboxRadius</t>
        </is>
      </c>
      <c r="E219" s="7" t="n">
        <v>0.47</v>
      </c>
    </row>
    <row r="220">
      <c r="A220" s="7" t="inlineStr">
        <is>
          <t>Assets/Prefabs/Enemies/Enemy 3.prefab</t>
        </is>
      </c>
      <c r="B220" s="7" t="inlineStr">
        <is>
          <t>Enemy 3</t>
        </is>
      </c>
      <c r="C220" s="7" t="inlineStr">
        <is>
          <t>EnemyHitboxSetup</t>
        </is>
      </c>
      <c r="D220" s="7" t="inlineStr">
        <is>
          <t>hitboxOffset</t>
        </is>
      </c>
      <c r="E220" s="7" t="inlineStr">
        <is>
          <t>(0, 0)</t>
        </is>
      </c>
    </row>
    <row r="221">
      <c r="A221" s="7" t="inlineStr">
        <is>
          <t>Assets/Prefabs/Enemies/Enemy 3.prefab</t>
        </is>
      </c>
      <c r="B221" s="7" t="inlineStr">
        <is>
          <t>Enemy 3</t>
        </is>
      </c>
      <c r="C221" s="7" t="inlineStr">
        <is>
          <t>JumpFloodPathfinding</t>
        </is>
      </c>
      <c r="D221" s="7" t="inlineStr">
        <is>
          <t>gridWidth</t>
        </is>
      </c>
      <c r="E221" s="7" t="n">
        <v>30</v>
      </c>
    </row>
    <row r="222">
      <c r="A222" s="7" t="inlineStr">
        <is>
          <t>Assets/Prefabs/Enemies/Enemy 3.prefab</t>
        </is>
      </c>
      <c r="B222" s="7" t="inlineStr">
        <is>
          <t>Enemy 3</t>
        </is>
      </c>
      <c r="C222" s="7" t="inlineStr">
        <is>
          <t>JumpFloodPathfinding</t>
        </is>
      </c>
      <c r="D222" s="7" t="inlineStr">
        <is>
          <t>gridHeight</t>
        </is>
      </c>
      <c r="E222" s="7" t="n">
        <v>30</v>
      </c>
    </row>
    <row r="223">
      <c r="A223" s="7" t="inlineStr">
        <is>
          <t>Assets/Prefabs/Enemies/Enemy 3.prefab</t>
        </is>
      </c>
      <c r="B223" s="7" t="inlineStr">
        <is>
          <t>Enemy 3</t>
        </is>
      </c>
      <c r="C223" s="7" t="inlineStr">
        <is>
          <t>JumpFloodPathfinding</t>
        </is>
      </c>
      <c r="D223" s="7" t="inlineStr">
        <is>
          <t>cellSize</t>
        </is>
      </c>
      <c r="E223" s="7" t="n">
        <v>1</v>
      </c>
    </row>
    <row r="224">
      <c r="A224" s="7" t="inlineStr">
        <is>
          <t>Assets/Prefabs/Enemies/Enemy 3.prefab</t>
        </is>
      </c>
      <c r="B224" s="7" t="inlineStr">
        <is>
          <t>Enemy 3</t>
        </is>
      </c>
      <c r="C224" s="7" t="inlineStr">
        <is>
          <t>JumpFloodPathfinding</t>
        </is>
      </c>
      <c r="D224" s="7" t="inlineStr">
        <is>
          <t>gridOrigin</t>
        </is>
      </c>
      <c r="E224" s="7" t="inlineStr">
        <is>
          <t>(0, 0)</t>
        </is>
      </c>
    </row>
    <row r="225">
      <c r="A225" s="7" t="inlineStr">
        <is>
          <t>Assets/Prefabs/Enemies/Enemy 3.prefab</t>
        </is>
      </c>
      <c r="B225" s="7" t="inlineStr">
        <is>
          <t>Enemy 3</t>
        </is>
      </c>
      <c r="C225" s="7" t="inlineStr">
        <is>
          <t>JumpFloodPathfinding</t>
        </is>
      </c>
      <c r="D225" s="7" t="inlineStr">
        <is>
          <t>updateInterval</t>
        </is>
      </c>
      <c r="E225" s="7" t="n">
        <v>0.5</v>
      </c>
    </row>
    <row r="226">
      <c r="A226" s="7" t="inlineStr">
        <is>
          <t>Assets/Prefabs/Enemies/Enemy 3.prefab</t>
        </is>
      </c>
      <c r="B226" s="7" t="inlineStr">
        <is>
          <t>Enemy 3</t>
        </is>
      </c>
      <c r="C226" s="7" t="inlineStr">
        <is>
          <t>JumpFloodPathfinding</t>
        </is>
      </c>
      <c r="D226" s="7" t="inlineStr">
        <is>
          <t>jumpFloodIterations</t>
        </is>
      </c>
      <c r="E226" s="7" t="n">
        <v>4</v>
      </c>
    </row>
    <row r="227">
      <c r="A227" s="7" t="inlineStr">
        <is>
          <t>Assets/Prefabs/Enemies/Enemy 3.prefab</t>
        </is>
      </c>
      <c r="B227" s="7" t="inlineStr">
        <is>
          <t>Enemy 3</t>
        </is>
      </c>
      <c r="C227" s="7" t="inlineStr">
        <is>
          <t>JumpFloodPathfinding</t>
        </is>
      </c>
      <c r="D227" s="7" t="inlineStr">
        <is>
          <t>showFlowField</t>
        </is>
      </c>
      <c r="E227" s="7" t="n">
        <v>0</v>
      </c>
    </row>
    <row r="228">
      <c r="A228" s="7" t="inlineStr">
        <is>
          <t>Assets/Prefabs/Enemies/Enemy Spawner.prefab</t>
        </is>
      </c>
      <c r="B228" s="7" t="inlineStr">
        <is>
          <t>Enemy Spawner</t>
        </is>
      </c>
      <c r="C228" s="7" t="inlineStr">
        <is>
          <t>EnemySpawner</t>
        </is>
      </c>
      <c r="D228" s="7" t="inlineStr">
        <is>
          <t>startingBudget</t>
        </is>
      </c>
      <c r="E228" s="7" t="n">
        <v>400</v>
      </c>
    </row>
    <row r="229">
      <c r="A229" s="7" t="inlineStr">
        <is>
          <t>Assets/Prefabs/Enemies/Enemy Spawner.prefab</t>
        </is>
      </c>
      <c r="B229" s="7" t="inlineStr">
        <is>
          <t>Enemy Spawner</t>
        </is>
      </c>
      <c r="C229" s="7" t="inlineStr">
        <is>
          <t>EnemySpawner</t>
        </is>
      </c>
      <c r="D229" s="7" t="inlineStr">
        <is>
          <t>spawnInterval</t>
        </is>
      </c>
      <c r="E229" s="7" t="n">
        <v>0.7</v>
      </c>
    </row>
    <row r="230">
      <c r="A230" s="7" t="inlineStr">
        <is>
          <t>Assets/Prefabs/Enemies/Enemy Spawner.prefab</t>
        </is>
      </c>
      <c r="B230" s="7" t="inlineStr">
        <is>
          <t>Enemy Spawner</t>
        </is>
      </c>
      <c r="C230" s="7" t="inlineStr">
        <is>
          <t>EnemySpawner</t>
        </is>
      </c>
      <c r="D230" s="7" t="inlineStr">
        <is>
          <t>fodderLevel1</t>
        </is>
      </c>
      <c r="E230" s="7" t="inlineStr">
        <is>
          <t>{"prefab": "-&gt;Enemy 1", "budgetCost": 10, "spawnWeight": 2, "maxAllowed": 12, "currentSpawned": 0, "spawnGroupSize": 8}</t>
        </is>
      </c>
    </row>
    <row r="231">
      <c r="A231" s="7" t="inlineStr">
        <is>
          <t>Assets/Prefabs/Enemies/Enemy Spawner.prefab</t>
        </is>
      </c>
      <c r="B231" s="7" t="inlineStr">
        <is>
          <t>Enemy Spawner</t>
        </is>
      </c>
      <c r="C231" s="7" t="inlineStr">
        <is>
          <t>EnemySpawner</t>
        </is>
      </c>
      <c r="D231" s="7" t="inlineStr">
        <is>
          <t>fodderLevel2</t>
        </is>
      </c>
      <c r="E231" s="7" t="inlineStr">
        <is>
          <t>{"prefab": null, "budgetCost": 0, "spawnWeight": 0, "maxAllowed": 0, "currentSpawned": 0, "spawnGroupSize": 1}</t>
        </is>
      </c>
    </row>
    <row r="232">
      <c r="A232" s="7" t="inlineStr">
        <is>
          <t>Assets/Prefabs/Enemies/Enemy Spawner.prefab</t>
        </is>
      </c>
      <c r="B232" s="7" t="inlineStr">
        <is>
          <t>Enemy Spawner</t>
        </is>
      </c>
      <c r="C232" s="7" t="inlineStr">
        <is>
          <t>EnemySpawner</t>
        </is>
      </c>
      <c r="D232" s="7" t="inlineStr">
        <is>
          <t>fodderLevel3</t>
        </is>
      </c>
      <c r="E232" s="7" t="inlineStr">
        <is>
          <t>{"prefab": null, "budgetCost": 0, "spawnWeight": 0, "maxAllowed": 0, "currentSpawned": 0, "spawnGroupSize": 1}</t>
        </is>
      </c>
    </row>
    <row r="233">
      <c r="A233" s="7" t="inlineStr">
        <is>
          <t>Assets/Prefabs/Enemies/Enemy Spawner.prefab</t>
        </is>
      </c>
      <c r="B233" s="7" t="inlineStr">
        <is>
          <t>Enemy Spawner</t>
        </is>
      </c>
      <c r="C233" s="7" t="inlineStr">
        <is>
          <t>EnemySpawner</t>
        </is>
      </c>
      <c r="D233" s="7" t="inlineStr">
        <is>
          <t>rangedEnemy</t>
        </is>
      </c>
      <c r="E233" s="7" t="inlineStr">
        <is>
          <t>{"prefab": "-&gt;RangedEnemy", "budgetCost": 50, "spawnWeight": 1, "maxAllowed": 2, "currentSpawned": 0, "spawnGroupSize": 1}</t>
        </is>
      </c>
    </row>
    <row r="234">
      <c r="A234" s="7" t="inlineStr">
        <is>
          <t>Assets/Prefabs/Enemies/Enemy Spawner.prefab</t>
        </is>
      </c>
      <c r="B234" s="7" t="inlineStr">
        <is>
          <t>Enemy Spawner</t>
        </is>
      </c>
      <c r="C234" s="7" t="inlineStr">
        <is>
          <t>EnemySpawner</t>
        </is>
      </c>
      <c r="D234" s="7" t="inlineStr">
        <is>
          <t>cthulhuEye</t>
        </is>
      </c>
      <c r="E234" s="7" t="inlineStr">
        <is>
          <t>{"prefab": "-&gt;CuthuluEye", "budgetCost": 100, "spawnWeight": 1, "maxAllowed": 1, "currentSpawned": 0, "spawnGroupSize": 1}</t>
        </is>
      </c>
    </row>
    <row r="235">
      <c r="A235" s="7" t="inlineStr">
        <is>
          <t>Assets/Prefabs/Enemies/Enemy Spawner.prefab</t>
        </is>
      </c>
      <c r="B235" s="7" t="inlineStr">
        <is>
          <t>Enemy Spawner</t>
        </is>
      </c>
      <c r="C235" s="7" t="inlineStr">
        <is>
          <t>EnemySpawner</t>
        </is>
      </c>
      <c r="D235" s="7" t="inlineStr">
        <is>
          <t>cthulhuExclusionRadius</t>
        </is>
      </c>
      <c r="E235" s="7" t="n">
        <v>25</v>
      </c>
    </row>
    <row r="236">
      <c r="A236" s="7" t="inlineStr">
        <is>
          <t>Assets/Prefabs/Enemies/Enemy Spawner.prefab</t>
        </is>
      </c>
      <c r="B236" s="7" t="inlineStr">
        <is>
          <t>Enemy Spawner</t>
        </is>
      </c>
      <c r="C236" s="7" t="inlineStr">
        <is>
          <t>EnemySpawner</t>
        </is>
      </c>
      <c r="D236" s="7" t="inlineStr">
        <is>
          <t>coinPrefab</t>
        </is>
      </c>
      <c r="E236" s="7" t="inlineStr">
        <is>
          <t>-&gt;Coin</t>
        </is>
      </c>
    </row>
    <row r="237">
      <c r="A237" s="7" t="inlineStr">
        <is>
          <t>Assets/Prefabs/Enemies/Enemy Spawner.prefab</t>
        </is>
      </c>
      <c r="B237" s="7" t="inlineStr">
        <is>
          <t>Enemy Spawner</t>
        </is>
      </c>
      <c r="C237" s="7" t="inlineStr">
        <is>
          <t>EnemySpawner</t>
        </is>
      </c>
      <c r="D237" s="7" t="inlineStr">
        <is>
          <t>coinRewardMultiplier</t>
        </is>
      </c>
      <c r="E237" s="7" t="n">
        <v>0.01</v>
      </c>
    </row>
    <row r="238">
      <c r="A238" s="7" t="inlineStr">
        <is>
          <t>Assets/Prefabs/Enemies/Enemy Spawner.prefab</t>
        </is>
      </c>
      <c r="B238" s="7" t="inlineStr">
        <is>
          <t>Enemy Spawner</t>
        </is>
      </c>
      <c r="C238" s="7" t="inlineStr">
        <is>
          <t>EnemySpawner</t>
        </is>
      </c>
      <c r="D238" s="7" t="inlineStr">
        <is>
          <t>coinDropForce</t>
        </is>
      </c>
      <c r="E238" s="7" t="n">
        <v>2</v>
      </c>
    </row>
    <row r="239">
      <c r="A239" s="7" t="inlineStr">
        <is>
          <t>Assets/Prefabs/Enemies/Enemy Spawner.prefab</t>
        </is>
      </c>
      <c r="B239" s="7" t="inlineStr">
        <is>
          <t>Enemy Spawner</t>
        </is>
      </c>
      <c r="C239" s="7" t="inlineStr">
        <is>
          <t>EnemySpawner</t>
        </is>
      </c>
      <c r="D239" s="7" t="inlineStr">
        <is>
          <t>maxHealth</t>
        </is>
      </c>
      <c r="E239" s="7" t="n">
        <v>300</v>
      </c>
    </row>
    <row r="240">
      <c r="A240" s="7" t="inlineStr">
        <is>
          <t>Assets/Prefabs/Enemies/Enemy Spawner.prefab</t>
        </is>
      </c>
      <c r="B240" s="7" t="inlineStr">
        <is>
          <t>Enemy Spawner</t>
        </is>
      </c>
      <c r="C240" s="7" t="inlineStr">
        <is>
          <t>EnemySpawner</t>
        </is>
      </c>
      <c r="D240" s="7" t="inlineStr">
        <is>
          <t>flashDuration</t>
        </is>
      </c>
      <c r="E240" s="7" t="n">
        <v>0.15</v>
      </c>
    </row>
    <row r="241">
      <c r="A241" s="7" t="inlineStr">
        <is>
          <t>Assets/Prefabs/Enemies/Enemy Spawner.prefab</t>
        </is>
      </c>
      <c r="B241" s="7" t="inlineStr">
        <is>
          <t>Enemy Spawner</t>
        </is>
      </c>
      <c r="C241" s="7" t="inlineStr">
        <is>
          <t>EnemySpawner</t>
        </is>
      </c>
      <c r="D241" s="7" t="inlineStr">
        <is>
          <t>spawnRadius</t>
        </is>
      </c>
      <c r="E241" s="7" t="n">
        <v>5</v>
      </c>
    </row>
    <row r="242">
      <c r="A242" s="7" t="inlineStr">
        <is>
          <t>Assets/Prefabs/Enemies/Enemy Spawner.prefab</t>
        </is>
      </c>
      <c r="B242" s="7" t="inlineStr">
        <is>
          <t>Enemy Spawner</t>
        </is>
      </c>
      <c r="C242" s="7" t="inlineStr">
        <is>
          <t>EnemySpawner</t>
        </is>
      </c>
      <c r="D242" s="7" t="inlineStr">
        <is>
          <t>zoneOffset</t>
        </is>
      </c>
      <c r="E242" s="7" t="n">
        <v>1</v>
      </c>
    </row>
    <row r="243">
      <c r="A243" s="7" t="inlineStr">
        <is>
          <t>Assets/Prefabs/Enemies/Enemy Spawner.prefab</t>
        </is>
      </c>
      <c r="B243" s="7" t="inlineStr">
        <is>
          <t>Enemy Spawner</t>
        </is>
      </c>
      <c r="C243" s="7" t="inlineStr">
        <is>
          <t>EnemySpawner</t>
        </is>
      </c>
      <c r="D243" s="7" t="inlineStr">
        <is>
          <t>requiresActivation</t>
        </is>
      </c>
      <c r="E243" s="7" t="n">
        <v>1</v>
      </c>
    </row>
    <row r="244">
      <c r="A244" s="7" t="inlineStr">
        <is>
          <t>Assets/Prefabs/Enemies/Enemy Spawner.prefab</t>
        </is>
      </c>
      <c r="B244" s="7" t="inlineStr">
        <is>
          <t>Enemy Spawner</t>
        </is>
      </c>
      <c r="C244" s="7" t="inlineStr">
        <is>
          <t>EnemySpawner</t>
        </is>
      </c>
      <c r="D244" s="7" t="inlineStr">
        <is>
          <t>maxEnemies</t>
        </is>
      </c>
      <c r="E244" s="7" t="n">
        <v>0</v>
      </c>
    </row>
    <row r="245">
      <c r="A245" s="7" t="inlineStr">
        <is>
          <t>Assets/Prefabs/Enemies/Enemy.prefab</t>
        </is>
      </c>
      <c r="B245" s="7" t="inlineStr">
        <is>
          <t>Enemy</t>
        </is>
      </c>
      <c r="C245" s="7" t="inlineStr">
        <is>
          <t>Enemy</t>
        </is>
      </c>
      <c r="D245" s="7" t="inlineStr">
        <is>
          <t>maxHealth</t>
        </is>
      </c>
      <c r="E245" s="7" t="n">
        <v>40</v>
      </c>
    </row>
    <row r="246">
      <c r="A246" s="7" t="inlineStr">
        <is>
          <t>Assets/Prefabs/Enemies/Enemy.prefab</t>
        </is>
      </c>
      <c r="B246" s="7" t="inlineStr">
        <is>
          <t>Enemy</t>
        </is>
      </c>
      <c r="C246" s="7" t="inlineStr">
        <is>
          <t>Enemy</t>
        </is>
      </c>
      <c r="D246" s="7" t="inlineStr">
        <is>
          <t>knockbackStrength</t>
        </is>
      </c>
      <c r="E246" s="7" t="n">
        <v>25</v>
      </c>
    </row>
    <row r="247">
      <c r="A247" s="7" t="inlineStr">
        <is>
          <t>Assets/Prefabs/Enemies/Enemy.prefab</t>
        </is>
      </c>
      <c r="B247" s="7" t="inlineStr">
        <is>
          <t>Enemy</t>
        </is>
      </c>
      <c r="C247" s="7" t="inlineStr">
        <is>
          <t>Enemy</t>
        </is>
      </c>
      <c r="D247" s="7" t="inlineStr">
        <is>
          <t>flashDuration</t>
        </is>
      </c>
      <c r="E247" s="7" t="n">
        <v>0.1</v>
      </c>
    </row>
    <row r="248">
      <c r="A248" s="7" t="inlineStr">
        <is>
          <t>Assets/Prefabs/Enemies/Enemy.prefab</t>
        </is>
      </c>
      <c r="B248" s="7" t="inlineStr">
        <is>
          <t>Enemy</t>
        </is>
      </c>
      <c r="C248" s="7" t="inlineStr">
        <is>
          <t>Enemy</t>
        </is>
      </c>
      <c r="D248" s="7" t="inlineStr">
        <is>
          <t>coinPrefab</t>
        </is>
      </c>
      <c r="E248" s="7" t="inlineStr">
        <is>
          <t>-&gt;Coin</t>
        </is>
      </c>
    </row>
    <row r="249">
      <c r="A249" s="7" t="inlineStr">
        <is>
          <t>Assets/Prefabs/Enemies/Enemy.prefab</t>
        </is>
      </c>
      <c r="B249" s="7" t="inlineStr">
        <is>
          <t>Enemy</t>
        </is>
      </c>
      <c r="C249" s="7" t="inlineStr">
        <is>
          <t>Enemy</t>
        </is>
      </c>
      <c r="D249" s="7" t="inlineStr">
        <is>
          <t>minCoins</t>
        </is>
      </c>
      <c r="E249" s="7" t="n">
        <v>1</v>
      </c>
    </row>
    <row r="250">
      <c r="A250" s="7" t="inlineStr">
        <is>
          <t>Assets/Prefabs/Enemies/Enemy.prefab</t>
        </is>
      </c>
      <c r="B250" s="7" t="inlineStr">
        <is>
          <t>Enemy</t>
        </is>
      </c>
      <c r="C250" s="7" t="inlineStr">
        <is>
          <t>Enemy</t>
        </is>
      </c>
      <c r="D250" s="7" t="inlineStr">
        <is>
          <t>maxCoins</t>
        </is>
      </c>
      <c r="E250" s="7" t="n">
        <v>3</v>
      </c>
    </row>
    <row r="251">
      <c r="A251" s="7" t="inlineStr">
        <is>
          <t>Assets/Prefabs/Enemies/Enemy.prefab</t>
        </is>
      </c>
      <c r="B251" s="7" t="inlineStr">
        <is>
          <t>Enemy</t>
        </is>
      </c>
      <c r="C251" s="7" t="inlineStr">
        <is>
          <t>Enemy</t>
        </is>
      </c>
      <c r="D251" s="7" t="inlineStr">
        <is>
          <t>coinDropForce</t>
        </is>
      </c>
      <c r="E251" s="7" t="n">
        <v>3</v>
      </c>
    </row>
    <row r="252">
      <c r="A252" s="7" t="inlineStr">
        <is>
          <t>Assets/Prefabs/Enemies/Enemy.prefab</t>
        </is>
      </c>
      <c r="B252" s="7" t="inlineStr">
        <is>
          <t>Enemy</t>
        </is>
      </c>
      <c r="C252" s="7" t="inlineStr">
        <is>
          <t>Enemy</t>
        </is>
      </c>
      <c r="D252" s="7" t="inlineStr">
        <is>
          <t>coinSpreadRadius</t>
        </is>
      </c>
      <c r="E252" s="7" t="n">
        <v>0.5</v>
      </c>
    </row>
    <row r="253">
      <c r="A253" s="7" t="inlineStr">
        <is>
          <t>Assets/Prefabs/Enemies/Enemy.prefab</t>
        </is>
      </c>
      <c r="B253" s="7" t="inlineStr">
        <is>
          <t>Enemy</t>
        </is>
      </c>
      <c r="C253" s="7" t="inlineStr">
        <is>
          <t>Enemy</t>
        </is>
      </c>
      <c r="D253" s="7" t="inlineStr">
        <is>
          <t>attackDamage</t>
        </is>
      </c>
      <c r="E253" s="7" t="n">
        <v>25</v>
      </c>
    </row>
    <row r="254">
      <c r="A254" s="7" t="inlineStr">
        <is>
          <t>Assets/Prefabs/Enemies/Enemy.prefab</t>
        </is>
      </c>
      <c r="B254" s="7" t="inlineStr">
        <is>
          <t>Enemy</t>
        </is>
      </c>
      <c r="C254" s="7" t="inlineStr">
        <is>
          <t>Enemy</t>
        </is>
      </c>
      <c r="D254" s="7" t="inlineStr">
        <is>
          <t>attackCooldown</t>
        </is>
      </c>
      <c r="E254" s="7" t="n">
        <v>1.5</v>
      </c>
    </row>
    <row r="255">
      <c r="A255" s="7" t="inlineStr">
        <is>
          <t>Assets/Prefabs/Enemies/Enemy.prefab</t>
        </is>
      </c>
      <c r="B255" s="7" t="inlineStr">
        <is>
          <t>Enemy</t>
        </is>
      </c>
      <c r="C255" s="7" t="inlineStr">
        <is>
          <t>EnemyMovement</t>
        </is>
      </c>
      <c r="D255" s="7" t="inlineStr">
        <is>
          <t>speed</t>
        </is>
      </c>
      <c r="E255" s="7" t="n">
        <v>3</v>
      </c>
    </row>
    <row r="256">
      <c r="A256" s="7" t="inlineStr">
        <is>
          <t>Assets/Prefabs/Enemies/Enemy.prefab</t>
        </is>
      </c>
      <c r="B256" s="7" t="inlineStr">
        <is>
          <t>Enemy</t>
        </is>
      </c>
      <c r="C256" s="7" t="inlineStr">
        <is>
          <t>EnemyMovement</t>
        </is>
      </c>
      <c r="D256" s="7" t="inlineStr">
        <is>
          <t>normalDrag</t>
        </is>
      </c>
      <c r="E256" s="7" t="n">
        <v>1</v>
      </c>
    </row>
    <row r="257">
      <c r="A257" s="7" t="inlineStr">
        <is>
          <t>Assets/Prefabs/Enemies/Enemy.prefab</t>
        </is>
      </c>
      <c r="B257" s="7" t="inlineStr">
        <is>
          <t>Enemy</t>
        </is>
      </c>
      <c r="C257" s="7" t="inlineStr">
        <is>
          <t>EnemyMovement</t>
        </is>
      </c>
      <c r="D257" s="7" t="inlineStr">
        <is>
          <t>knockbackDrag</t>
        </is>
      </c>
      <c r="E257" s="7" t="n">
        <v>25</v>
      </c>
    </row>
    <row r="258">
      <c r="A258" s="7" t="inlineStr">
        <is>
          <t>Assets/Prefabs/Enemies/Enemy.prefab</t>
        </is>
      </c>
      <c r="B258" s="7" t="inlineStr">
        <is>
          <t>Enemy</t>
        </is>
      </c>
      <c r="C258" s="7" t="inlineStr">
        <is>
          <t>EnemyDeath</t>
        </is>
      </c>
      <c r="D258" s="7" t="inlineStr">
        <is>
          <t>leaveCorpse</t>
        </is>
      </c>
      <c r="E258" s="7" t="n">
        <v>1</v>
      </c>
    </row>
    <row r="259">
      <c r="A259" s="7" t="inlineStr">
        <is>
          <t>Assets/Prefabs/Enemies/Enemy.prefab</t>
        </is>
      </c>
      <c r="B259" s="7" t="inlineStr">
        <is>
          <t>Enemy</t>
        </is>
      </c>
      <c r="C259" s="7" t="inlineStr">
        <is>
          <t>EnemyDeath</t>
        </is>
      </c>
      <c r="D259" s="7" t="inlineStr">
        <is>
          <t>corpseLifetime</t>
        </is>
      </c>
      <c r="E259" s="7" t="n">
        <v>5</v>
      </c>
    </row>
    <row r="260">
      <c r="A260" s="7" t="inlineStr">
        <is>
          <t>Assets/Prefabs/Enemies/Enemy.prefab</t>
        </is>
      </c>
      <c r="B260" s="7" t="inlineStr">
        <is>
          <t>Enemy</t>
        </is>
      </c>
      <c r="C260" s="7" t="inlineStr">
        <is>
          <t>EnemyDeath</t>
        </is>
      </c>
      <c r="D260" s="7" t="inlineStr">
        <is>
          <t>corpseAlpha</t>
        </is>
      </c>
      <c r="E260" s="7" t="n">
        <v>0.8</v>
      </c>
    </row>
    <row r="261">
      <c r="A261" s="7" t="inlineStr">
        <is>
          <t>Assets/Prefabs/Enemies/Enemy.prefab</t>
        </is>
      </c>
      <c r="B261" s="7" t="inlineStr">
        <is>
          <t>Enemy</t>
        </is>
      </c>
      <c r="C261" s="7" t="inlineStr">
        <is>
          <t>EnemyDeath</t>
        </is>
      </c>
      <c r="D261" s="7" t="inlineStr">
        <is>
          <t>deathEffectDuration</t>
        </is>
      </c>
      <c r="E261" s="7" t="n">
        <v>2</v>
      </c>
    </row>
    <row r="262">
      <c r="A262" s="7" t="inlineStr">
        <is>
          <t>Assets/Prefabs/Enemies/Enemy.prefab</t>
        </is>
      </c>
      <c r="B262" s="7" t="inlineStr">
        <is>
          <t>Enemy</t>
        </is>
      </c>
      <c r="C262" s="7" t="inlineStr">
        <is>
          <t>EnemyDeath</t>
        </is>
      </c>
      <c r="D262" s="7" t="inlineStr">
        <is>
          <t>disableAllScripts</t>
        </is>
      </c>
      <c r="E262" s="7" t="n">
        <v>1</v>
      </c>
    </row>
    <row r="263">
      <c r="A263" s="7" t="inlineStr">
        <is>
          <t>Assets/Prefabs/Enemies/Boss_Prefab/MiniBoss1.prefab</t>
        </is>
      </c>
      <c r="B263" s="7" t="inlineStr">
        <is>
          <t>MiniBoss1</t>
        </is>
      </c>
      <c r="C263" s="7" t="inlineStr">
        <is>
          <t>BossEnemy</t>
        </is>
      </c>
      <c r="D263" s="7" t="inlineStr">
        <is>
          <t>minTeleporterUses</t>
        </is>
      </c>
      <c r="E263" s="7" t="n">
        <v>2</v>
      </c>
    </row>
    <row r="264">
      <c r="A264" s="7" t="inlineStr">
        <is>
          <t>Assets/Prefabs/Enemies/Boss_Prefab/MiniBoss1.prefab</t>
        </is>
      </c>
      <c r="B264" s="7" t="inlineStr">
        <is>
          <t>MiniBoss1</t>
        </is>
      </c>
      <c r="C264" s="7" t="inlineStr">
        <is>
          <t>BossEnemy</t>
        </is>
      </c>
      <c r="D264" s="7" t="inlineStr">
        <is>
          <t>maxTeleporterUses</t>
        </is>
      </c>
      <c r="E264" s="7" t="n">
        <v>5</v>
      </c>
    </row>
    <row r="265">
      <c r="A265" s="7" t="inlineStr">
        <is>
          <t>Assets/Prefabs/Enemies/Boss_Prefab/MiniBoss1.prefab</t>
        </is>
      </c>
      <c r="B265" s="7" t="inlineStr">
        <is>
          <t>MiniBoss1</t>
        </is>
      </c>
      <c r="C265" s="7" t="inlineStr">
        <is>
          <t>BossEnemy</t>
        </is>
      </c>
      <c r="D265" s="7" t="inlineStr">
        <is>
          <t>maxSpawnTimeSeconds</t>
        </is>
      </c>
      <c r="E265" s="7" t="n">
        <v>180</v>
      </c>
    </row>
    <row r="266">
      <c r="A266" s="7" t="inlineStr">
        <is>
          <t>Assets/Prefabs/Enemies/Boss_Prefab/MiniBoss1.prefab</t>
        </is>
      </c>
      <c r="B266" s="7" t="inlineStr">
        <is>
          <t>MiniBoss1</t>
        </is>
      </c>
      <c r="C266" s="7" t="inlineStr">
        <is>
          <t>BossEnemy</t>
        </is>
      </c>
      <c r="D266" s="7" t="inlineStr">
        <is>
          <t>playerObject</t>
        </is>
      </c>
      <c r="E266" s="7" t="inlineStr">
        <is>
          <t>-&gt;Temp -Player</t>
        </is>
      </c>
    </row>
    <row r="267">
      <c r="A267" s="7" t="inlineStr">
        <is>
          <t>Assets/Prefabs/Enemies/Boss_Prefab/MiniBoss1.prefab</t>
        </is>
      </c>
      <c r="B267" s="7" t="inlineStr">
        <is>
          <t>MiniBoss1</t>
        </is>
      </c>
      <c r="C267" s="7" t="inlineStr">
        <is>
          <t>BossEnemy</t>
        </is>
      </c>
      <c r="D267" s="7" t="inlineStr">
        <is>
          <t>maxHealth</t>
        </is>
      </c>
      <c r="E267" s="7" t="n">
        <v>4000</v>
      </c>
    </row>
    <row r="268">
      <c r="A268" s="7" t="inlineStr">
        <is>
          <t>Assets/Prefabs/Enemies/Boss_Prefab/MiniBoss1.prefab</t>
        </is>
      </c>
      <c r="B268" s="7" t="inlineStr">
        <is>
          <t>MiniBoss1</t>
        </is>
      </c>
      <c r="C268" s="7" t="inlineStr">
        <is>
          <t>BossEnemy</t>
        </is>
      </c>
      <c r="D268" s="7" t="inlineStr">
        <is>
          <t>attackDamage</t>
        </is>
      </c>
      <c r="E268" s="7" t="n">
        <v>10</v>
      </c>
    </row>
    <row r="269">
      <c r="A269" s="7" t="inlineStr">
        <is>
          <t>Assets/Prefabs/Enemies/Boss_Prefab/MiniBoss1.prefab</t>
        </is>
      </c>
      <c r="B269" s="7" t="inlineStr">
        <is>
          <t>MiniBoss1</t>
        </is>
      </c>
      <c r="C269" s="7" t="inlineStr">
        <is>
          <t>BossEnemy</t>
        </is>
      </c>
      <c r="D269" s="7" t="inlineStr">
        <is>
          <t>attackCooldown</t>
        </is>
      </c>
      <c r="E269" s="7" t="n">
        <v>1.5</v>
      </c>
    </row>
    <row r="270">
      <c r="A270" s="7" t="inlineStr">
        <is>
          <t>Assets/Prefabs/Enemies/Boss_Prefab/MiniBoss1.prefab</t>
        </is>
      </c>
      <c r="B270" s="7" t="inlineStr">
        <is>
          <t>MiniBoss1</t>
        </is>
      </c>
      <c r="C270" s="7" t="inlineStr">
        <is>
          <t>BossEnemy</t>
        </is>
      </c>
      <c r="D270" s="7" t="inlineStr">
        <is>
          <t>moveSpeed</t>
        </is>
      </c>
      <c r="E270" s="7" t="n">
        <v>6</v>
      </c>
    </row>
    <row r="271">
      <c r="A271" s="7" t="inlineStr">
        <is>
          <t>Assets/Prefabs/Enemies/Boss_Prefab/MiniBoss1.prefab</t>
        </is>
      </c>
      <c r="B271" s="7" t="inlineStr">
        <is>
          <t>MiniBoss1</t>
        </is>
      </c>
      <c r="C271" s="7" t="inlineStr">
        <is>
          <t>BossEnemy</t>
        </is>
      </c>
      <c r="D271" s="7" t="inlineStr">
        <is>
          <t>maxSpeed</t>
        </is>
      </c>
      <c r="E271" s="7" t="n">
        <v>20</v>
      </c>
    </row>
    <row r="272">
      <c r="A272" s="7" t="inlineStr">
        <is>
          <t>Assets/Prefabs/Enemies/Boss_Prefab/MiniBoss1.prefab</t>
        </is>
      </c>
      <c r="B272" s="7" t="inlineStr">
        <is>
          <t>MiniBoss1</t>
        </is>
      </c>
      <c r="C272" s="7" t="inlineStr">
        <is>
          <t>BossEnemy</t>
        </is>
      </c>
      <c r="D272" s="7" t="inlineStr">
        <is>
          <t>speedIncreasePerBounce</t>
        </is>
      </c>
      <c r="E272" s="7" t="n">
        <v>1</v>
      </c>
    </row>
    <row r="273">
      <c r="A273" s="7" t="inlineStr">
        <is>
          <t>Assets/Prefabs/Enemies/Boss_Prefab/MiniBoss1.prefab</t>
        </is>
      </c>
      <c r="B273" s="7" t="inlineStr">
        <is>
          <t>MiniBoss1</t>
        </is>
      </c>
      <c r="C273" s="7" t="inlineStr">
        <is>
          <t>BossEnemy</t>
        </is>
      </c>
      <c r="D273" s="7" t="inlineStr">
        <is>
          <t>directionChangeInterval</t>
        </is>
      </c>
      <c r="E273" s="7" t="n">
        <v>20</v>
      </c>
    </row>
    <row r="274">
      <c r="A274" s="7" t="inlineStr">
        <is>
          <t>Assets/Prefabs/Enemies/Boss_Prefab/MiniBoss1.prefab</t>
        </is>
      </c>
      <c r="B274" s="7" t="inlineStr">
        <is>
          <t>MiniBoss1</t>
        </is>
      </c>
      <c r="C274" s="7" t="inlineStr">
        <is>
          <t>BossEnemy</t>
        </is>
      </c>
      <c r="D274" s="7" t="inlineStr">
        <is>
          <t>shieldHealth</t>
        </is>
      </c>
      <c r="E274" s="7" t="n">
        <v>1000</v>
      </c>
    </row>
    <row r="275">
      <c r="A275" s="7" t="inlineStr">
        <is>
          <t>Assets/Prefabs/Enemies/Boss_Prefab/MiniBoss1.prefab</t>
        </is>
      </c>
      <c r="B275" s="7" t="inlineStr">
        <is>
          <t>MiniBoss1</t>
        </is>
      </c>
      <c r="C275" s="7" t="inlineStr">
        <is>
          <t>BossEnemy</t>
        </is>
      </c>
      <c r="D275" s="7" t="inlineStr">
        <is>
          <t>wallStickDuration</t>
        </is>
      </c>
      <c r="E275" s="7" t="n">
        <v>5</v>
      </c>
    </row>
    <row r="276">
      <c r="A276" s="7" t="inlineStr">
        <is>
          <t>Assets/Prefabs/Enemies/Boss_Prefab/MiniBoss1.prefab</t>
        </is>
      </c>
      <c r="B276" s="7" t="inlineStr">
        <is>
          <t>MiniBoss1</t>
        </is>
      </c>
      <c r="C276" s="7" t="inlineStr">
        <is>
          <t>BossEnemy</t>
        </is>
      </c>
      <c r="D276" s="7" t="inlineStr">
        <is>
          <t>stickDistance</t>
        </is>
      </c>
      <c r="E276" s="7" t="n">
        <v>0.5</v>
      </c>
    </row>
    <row r="277">
      <c r="A277" s="7" t="inlineStr">
        <is>
          <t>Assets/Prefabs/Enemies/Boss_Prefab/MiniBoss1.prefab</t>
        </is>
      </c>
      <c r="B277" s="7" t="inlineStr">
        <is>
          <t>MiniBoss1</t>
        </is>
      </c>
      <c r="C277" s="7" t="inlineStr">
        <is>
          <t>BossEnemy</t>
        </is>
      </c>
      <c r="D277" s="7" t="inlineStr">
        <is>
          <t>bulletsPerWave</t>
        </is>
      </c>
      <c r="E277" s="7" t="n">
        <v>12</v>
      </c>
    </row>
    <row r="278">
      <c r="A278" s="7" t="inlineStr">
        <is>
          <t>Assets/Prefabs/Enemies/Boss_Prefab/MiniBoss1.prefab</t>
        </is>
      </c>
      <c r="B278" s="7" t="inlineStr">
        <is>
          <t>MiniBoss1</t>
        </is>
      </c>
      <c r="C278" s="7" t="inlineStr">
        <is>
          <t>BossEnemy</t>
        </is>
      </c>
      <c r="D278" s="7" t="inlineStr">
        <is>
          <t>angleBetweenBullets</t>
        </is>
      </c>
      <c r="E278" s="7" t="n">
        <v>20</v>
      </c>
    </row>
    <row r="279">
      <c r="A279" s="7" t="inlineStr">
        <is>
          <t>Assets/Prefabs/Enemies/Boss_Prefab/MiniBoss1.prefab</t>
        </is>
      </c>
      <c r="B279" s="7" t="inlineStr">
        <is>
          <t>MiniBoss1</t>
        </is>
      </c>
      <c r="C279" s="7" t="inlineStr">
        <is>
          <t>BossEnemy</t>
        </is>
      </c>
      <c r="D279" s="7" t="inlineStr">
        <is>
          <t>timeBetweenWaves</t>
        </is>
      </c>
      <c r="E279" s="7" t="n">
        <v>0.3</v>
      </c>
    </row>
    <row r="280">
      <c r="A280" s="7" t="inlineStr">
        <is>
          <t>Assets/Prefabs/Enemies/Boss_Prefab/MiniBoss1.prefab</t>
        </is>
      </c>
      <c r="B280" s="7" t="inlineStr">
        <is>
          <t>MiniBoss1</t>
        </is>
      </c>
      <c r="C280" s="7" t="inlineStr">
        <is>
          <t>BossEnemy</t>
        </is>
      </c>
      <c r="D280" s="7" t="inlineStr">
        <is>
          <t>timeBetweenAttacks</t>
        </is>
      </c>
      <c r="E280" s="7" t="n">
        <v>1</v>
      </c>
    </row>
    <row r="281">
      <c r="A281" s="7" t="inlineStr">
        <is>
          <t>Assets/Prefabs/Enemies/Boss_Prefab/MiniBoss1.prefab</t>
        </is>
      </c>
      <c r="B281" s="7" t="inlineStr">
        <is>
          <t>MiniBoss1</t>
        </is>
      </c>
      <c r="C281" s="7" t="inlineStr">
        <is>
          <t>BossEnemy</t>
        </is>
      </c>
      <c r="D281" s="7" t="inlineStr">
        <is>
          <t>bulletSpeed</t>
        </is>
      </c>
      <c r="E281" s="7" t="n">
        <v>8</v>
      </c>
    </row>
    <row r="282">
      <c r="A282" s="7" t="inlineStr">
        <is>
          <t>Assets/Prefabs/Enemies/Boss_Prefab/MiniBoss1.prefab</t>
        </is>
      </c>
      <c r="B282" s="7" t="inlineStr">
        <is>
          <t>MiniBoss1</t>
        </is>
      </c>
      <c r="C282" s="7" t="inlineStr">
        <is>
          <t>BossEnemy</t>
        </is>
      </c>
      <c r="D282" s="7" t="inlineStr">
        <is>
          <t>bulletLifetime</t>
        </is>
      </c>
      <c r="E282" s="7" t="n">
        <v>5</v>
      </c>
    </row>
    <row r="283">
      <c r="A283" s="7" t="inlineStr">
        <is>
          <t>Assets/Prefabs/Enemies/Boss_Prefab/MiniBoss1.prefab</t>
        </is>
      </c>
      <c r="B283" s="7" t="inlineStr">
        <is>
          <t>MiniBoss1</t>
        </is>
      </c>
      <c r="C283" s="7" t="inlineStr">
        <is>
          <t>BossEnemy</t>
        </is>
      </c>
      <c r="D283" s="7" t="inlineStr">
        <is>
          <t>bulletDamage</t>
        </is>
      </c>
      <c r="E283" s="7" t="n">
        <v>5</v>
      </c>
    </row>
    <row r="284">
      <c r="A284" s="7" t="inlineStr">
        <is>
          <t>Assets/Prefabs/Enemies/Boss_Prefab/MiniBoss1.prefab</t>
        </is>
      </c>
      <c r="B284" s="7" t="inlineStr">
        <is>
          <t>MiniBoss1</t>
        </is>
      </c>
      <c r="C284" s="7" t="inlineStr">
        <is>
          <t>BossEnemy</t>
        </is>
      </c>
      <c r="D284" s="7" t="inlineStr">
        <is>
          <t>wallCheckDistance</t>
        </is>
      </c>
      <c r="E284" s="7" t="n">
        <v>1</v>
      </c>
    </row>
    <row r="285">
      <c r="A285" s="7" t="inlineStr">
        <is>
          <t>Assets/Prefabs/Enemies/Boss_Prefab/MiniBoss1.prefab</t>
        </is>
      </c>
      <c r="B285" s="7" t="inlineStr">
        <is>
          <t>MiniBoss1</t>
        </is>
      </c>
      <c r="C285" s="7" t="inlineStr">
        <is>
          <t>BossEnemy</t>
        </is>
      </c>
      <c r="D285" s="7" t="inlineStr">
        <is>
          <t>flashDuration</t>
        </is>
      </c>
      <c r="E285" s="7" t="n">
        <v>0.1</v>
      </c>
    </row>
    <row r="286">
      <c r="A286" s="7" t="inlineStr">
        <is>
          <t>Assets/Prefabs/Enemies/Boss_Prefab/MiniBoss1.prefab</t>
        </is>
      </c>
      <c r="B286" s="7" t="inlineStr">
        <is>
          <t>MiniBoss1</t>
        </is>
      </c>
      <c r="C286" s="7" t="inlineStr">
        <is>
          <t>BossEnemy</t>
        </is>
      </c>
      <c r="D286" s="7" t="inlineStr">
        <is>
          <t>coinPrefab</t>
        </is>
      </c>
      <c r="E286" s="7" t="inlineStr">
        <is>
          <t>-&gt;Coin</t>
        </is>
      </c>
    </row>
    <row r="287">
      <c r="A287" s="7" t="inlineStr">
        <is>
          <t>Assets/Prefabs/Enemies/Boss_Prefab/MiniBoss1.prefab</t>
        </is>
      </c>
      <c r="B287" s="7" t="inlineStr">
        <is>
          <t>MiniBoss1</t>
        </is>
      </c>
      <c r="C287" s="7" t="inlineStr">
        <is>
          <t>BossEnemy</t>
        </is>
      </c>
      <c r="D287" s="7" t="inlineStr">
        <is>
          <t>minCoins</t>
        </is>
      </c>
      <c r="E287" s="7" t="n">
        <v>200</v>
      </c>
    </row>
    <row r="288">
      <c r="A288" s="7" t="inlineStr">
        <is>
          <t>Assets/Prefabs/Enemies/Boss_Prefab/MiniBoss1.prefab</t>
        </is>
      </c>
      <c r="B288" s="7" t="inlineStr">
        <is>
          <t>MiniBoss1</t>
        </is>
      </c>
      <c r="C288" s="7" t="inlineStr">
        <is>
          <t>BossEnemy</t>
        </is>
      </c>
      <c r="D288" s="7" t="inlineStr">
        <is>
          <t>maxCoins</t>
        </is>
      </c>
      <c r="E288" s="7" t="n">
        <v>250</v>
      </c>
    </row>
    <row r="289">
      <c r="A289" s="7" t="inlineStr">
        <is>
          <t>Assets/Prefabs/Enemies/Boss_Prefab/MiniBoss1.prefab</t>
        </is>
      </c>
      <c r="B289" s="7" t="inlineStr">
        <is>
          <t>MiniBoss1</t>
        </is>
      </c>
      <c r="C289" s="7" t="inlineStr">
        <is>
          <t>BossEnemy</t>
        </is>
      </c>
      <c r="D289" s="7" t="inlineStr">
        <is>
          <t>coinDropForce</t>
        </is>
      </c>
      <c r="E289" s="7" t="n">
        <v>2</v>
      </c>
    </row>
    <row r="290">
      <c r="A290" s="7" t="inlineStr">
        <is>
          <t>Assets/Prefabs/Enemies/Boss_Prefab/MiniBoss1.prefab</t>
        </is>
      </c>
      <c r="B290" s="7" t="inlineStr">
        <is>
          <t>MiniBoss1</t>
        </is>
      </c>
      <c r="C290" s="7" t="inlineStr">
        <is>
          <t>BossEnemy</t>
        </is>
      </c>
      <c r="D290" s="7" t="inlineStr">
        <is>
          <t>coinSpreadRadius</t>
        </is>
      </c>
      <c r="E290" s="7" t="n">
        <v>2</v>
      </c>
    </row>
    <row r="291">
      <c r="A291" s="7" t="inlineStr">
        <is>
          <t>Assets/Prefabs/Enemies/Boss_Prefab/MiniBoss1.prefab</t>
        </is>
      </c>
      <c r="B291" s="7" t="inlineStr">
        <is>
          <t>BulletPool</t>
        </is>
      </c>
      <c r="C291" s="7" t="inlineStr">
        <is>
          <t>BulletPool</t>
        </is>
      </c>
      <c r="D291" s="7" t="inlineStr">
        <is>
          <t>bulletPrefab</t>
        </is>
      </c>
      <c r="E291" s="7" t="inlineStr">
        <is>
          <t>-&gt;Boss_Bullet</t>
        </is>
      </c>
    </row>
    <row r="292">
      <c r="A292" s="7" t="inlineStr">
        <is>
          <t>Assets/Prefabs/Enemies/Boss_Prefab/MiniBoss1.prefab</t>
        </is>
      </c>
      <c r="B292" s="7" t="inlineStr">
        <is>
          <t>BulletPool</t>
        </is>
      </c>
      <c r="C292" s="7" t="inlineStr">
        <is>
          <t>BulletPool</t>
        </is>
      </c>
      <c r="D292" s="7" t="inlineStr">
        <is>
          <t>initialPoolSize</t>
        </is>
      </c>
      <c r="E292" s="7" t="n">
        <v>50</v>
      </c>
    </row>
    <row r="293">
      <c r="A293" s="7" t="inlineStr">
        <is>
          <t>Assets/Prefabs/Enemies/Boss_Prefab/MiniBoss1.prefab</t>
        </is>
      </c>
      <c r="B293" s="7" t="inlineStr">
        <is>
          <t>BulletPool</t>
        </is>
      </c>
      <c r="C293" s="7" t="inlineStr">
        <is>
          <t>BulletPool</t>
        </is>
      </c>
      <c r="D293" s="7" t="inlineStr">
        <is>
          <t>maxPoolSize</t>
        </is>
      </c>
      <c r="E293" s="7" t="n">
        <v>200</v>
      </c>
    </row>
    <row r="294">
      <c r="A294" s="7" t="inlineStr">
        <is>
          <t>Assets/Prefabs/Enemies/RangedEnemy/RangedEnemy.prefab</t>
        </is>
      </c>
      <c r="B294" s="7" t="inlineStr">
        <is>
          <t>RangedEnemy</t>
        </is>
      </c>
      <c r="C294" s="7" t="inlineStr">
        <is>
          <t>TriangleEnemy</t>
        </is>
      </c>
      <c r="D294" s="7" t="inlineStr">
        <is>
          <t>maxHealth</t>
        </is>
      </c>
      <c r="E294" s="7" t="n">
        <v>150</v>
      </c>
    </row>
    <row r="295">
      <c r="A295" s="7" t="inlineStr">
        <is>
          <t>Assets/Prefabs/Enemies/RangedEnemy/RangedEnemy.prefab</t>
        </is>
      </c>
      <c r="B295" s="7" t="inlineStr">
        <is>
          <t>RangedEnemy</t>
        </is>
      </c>
      <c r="C295" s="7" t="inlineStr">
        <is>
          <t>TriangleEnemy</t>
        </is>
      </c>
      <c r="D295" s="7" t="inlineStr">
        <is>
          <t>bulletDamage</t>
        </is>
      </c>
      <c r="E295" s="7" t="n">
        <v>10</v>
      </c>
    </row>
    <row r="296">
      <c r="A296" s="7" t="inlineStr">
        <is>
          <t>Assets/Prefabs/Enemies/RangedEnemy/RangedEnemy.prefab</t>
        </is>
      </c>
      <c r="B296" s="7" t="inlineStr">
        <is>
          <t>RangedEnemy</t>
        </is>
      </c>
      <c r="C296" s="7" t="inlineStr">
        <is>
          <t>TriangleEnemy</t>
        </is>
      </c>
      <c r="D296" s="7" t="inlineStr">
        <is>
          <t>bulletSpeed</t>
        </is>
      </c>
      <c r="E296" s="7" t="n">
        <v>4</v>
      </c>
    </row>
    <row r="297">
      <c r="A297" s="7" t="inlineStr">
        <is>
          <t>Assets/Prefabs/Enemies/RangedEnemy/RangedEnemy.prefab</t>
        </is>
      </c>
      <c r="B297" s="7" t="inlineStr">
        <is>
          <t>RangedEnemy</t>
        </is>
      </c>
      <c r="C297" s="7" t="inlineStr">
        <is>
          <t>TriangleEnemy</t>
        </is>
      </c>
      <c r="D297" s="7" t="inlineStr">
        <is>
          <t>bulletLifetime</t>
        </is>
      </c>
      <c r="E297" s="7" t="n">
        <v>1</v>
      </c>
    </row>
    <row r="298">
      <c r="A298" s="7" t="inlineStr">
        <is>
          <t>Assets/Prefabs/Enemies/RangedEnemy/RangedEnemy.prefab</t>
        </is>
      </c>
      <c r="B298" s="7" t="inlineStr">
        <is>
          <t>RangedEnemy</t>
        </is>
      </c>
      <c r="C298" s="7" t="inlineStr">
        <is>
          <t>TriangleEnemy</t>
        </is>
      </c>
      <c r="D298" s="7" t="inlineStr">
        <is>
          <t>fireRate</t>
        </is>
      </c>
      <c r="E298" s="7" t="n">
        <v>1</v>
      </c>
    </row>
    <row r="299">
      <c r="A299" s="7" t="inlineStr">
        <is>
          <t>Assets/Prefabs/Enemies/RangedEnemy/RangedEnemy.prefab</t>
        </is>
      </c>
      <c r="B299" s="7" t="inlineStr">
        <is>
          <t>RangedEnemy</t>
        </is>
      </c>
      <c r="C299" s="7" t="inlineStr">
        <is>
          <t>TriangleEnemy</t>
        </is>
      </c>
      <c r="D299" s="7" t="inlineStr">
        <is>
          <t>bulletSpread</t>
        </is>
      </c>
      <c r="E299" s="7" t="n">
        <v>10</v>
      </c>
    </row>
    <row r="300">
      <c r="A300" s="7" t="inlineStr">
        <is>
          <t>Assets/Prefabs/Enemies/RangedEnemy/RangedEnemy.prefab</t>
        </is>
      </c>
      <c r="B300" s="7" t="inlineStr">
        <is>
          <t>RangedEnemy</t>
        </is>
      </c>
      <c r="C300" s="7" t="inlineStr">
        <is>
          <t>TriangleEnemy</t>
        </is>
      </c>
      <c r="D300" s="7" t="inlineStr">
        <is>
          <t>minRange</t>
        </is>
      </c>
      <c r="E300" s="7" t="n">
        <v>2</v>
      </c>
    </row>
    <row r="301">
      <c r="A301" s="7" t="inlineStr">
        <is>
          <t>Assets/Prefabs/Enemies/RangedEnemy/RangedEnemy.prefab</t>
        </is>
      </c>
      <c r="B301" s="7" t="inlineStr">
        <is>
          <t>RangedEnemy</t>
        </is>
      </c>
      <c r="C301" s="7" t="inlineStr">
        <is>
          <t>TriangleEnemy</t>
        </is>
      </c>
      <c r="D301" s="7" t="inlineStr">
        <is>
          <t>maxRange</t>
        </is>
      </c>
      <c r="E301" s="7" t="n">
        <v>4</v>
      </c>
    </row>
    <row r="302">
      <c r="A302" s="7" t="inlineStr">
        <is>
          <t>Assets/Prefabs/Enemies/RangedEnemy/RangedEnemy.prefab</t>
        </is>
      </c>
      <c r="B302" s="7" t="inlineStr">
        <is>
          <t>RangedEnemy</t>
        </is>
      </c>
      <c r="C302" s="7" t="inlineStr">
        <is>
          <t>TriangleEnemy</t>
        </is>
      </c>
      <c r="D302" s="7" t="inlineStr">
        <is>
          <t>moveSpeed</t>
        </is>
      </c>
      <c r="E302" s="7" t="n">
        <v>3</v>
      </c>
    </row>
    <row r="303">
      <c r="A303" s="7" t="inlineStr">
        <is>
          <t>Assets/Prefabs/Enemies/RangedEnemy/RangedEnemy.prefab</t>
        </is>
      </c>
      <c r="B303" s="7" t="inlineStr">
        <is>
          <t>RangedEnemy</t>
        </is>
      </c>
      <c r="C303" s="7" t="inlineStr">
        <is>
          <t>TriangleEnemy</t>
        </is>
      </c>
      <c r="D303" s="7" t="inlineStr">
        <is>
          <t>roamTurnSpeed</t>
        </is>
      </c>
      <c r="E303" s="7" t="n">
        <v>90</v>
      </c>
    </row>
    <row r="304">
      <c r="A304" s="7" t="inlineStr">
        <is>
          <t>Assets/Prefabs/Enemies/RangedEnemy/RangedEnemy.prefab</t>
        </is>
      </c>
      <c r="B304" s="7" t="inlineStr">
        <is>
          <t>RangedEnemy</t>
        </is>
      </c>
      <c r="C304" s="7" t="inlineStr">
        <is>
          <t>TriangleEnemy</t>
        </is>
      </c>
      <c r="D304" s="7" t="inlineStr">
        <is>
          <t>wanderInterval</t>
        </is>
      </c>
      <c r="E304" s="7" t="n">
        <v>2</v>
      </c>
    </row>
    <row r="305">
      <c r="A305" s="7" t="inlineStr">
        <is>
          <t>Assets/Prefabs/Enemies/RangedEnemy/RangedEnemy.prefab</t>
        </is>
      </c>
      <c r="B305" s="7" t="inlineStr">
        <is>
          <t>RangedEnemy</t>
        </is>
      </c>
      <c r="C305" s="7" t="inlineStr">
        <is>
          <t>TriangleEnemy</t>
        </is>
      </c>
      <c r="D305" s="7" t="inlineStr">
        <is>
          <t>wanderVariance</t>
        </is>
      </c>
      <c r="E305" s="7" t="n">
        <v>0.5</v>
      </c>
    </row>
    <row r="306">
      <c r="A306" s="7" t="inlineStr">
        <is>
          <t>Assets/Prefabs/Enemies/RangedEnemy/RangedEnemy.prefab</t>
        </is>
      </c>
      <c r="B306" s="7" t="inlineStr">
        <is>
          <t>RangedEnemy</t>
        </is>
      </c>
      <c r="C306" s="7" t="inlineStr">
        <is>
          <t>TriangleEnemy</t>
        </is>
      </c>
      <c r="D306" s="7" t="inlineStr">
        <is>
          <t>attackTurnSpeed</t>
        </is>
      </c>
      <c r="E306" s="7" t="n">
        <v>320</v>
      </c>
    </row>
    <row r="307">
      <c r="A307" s="7" t="inlineStr">
        <is>
          <t>Assets/Prefabs/Enemies/RangedEnemy/RangedEnemy.prefab</t>
        </is>
      </c>
      <c r="B307" s="7" t="inlineStr">
        <is>
          <t>RangedEnemy</t>
        </is>
      </c>
      <c r="C307" s="7" t="inlineStr">
        <is>
          <t>TriangleEnemy</t>
        </is>
      </c>
      <c r="D307" s="7" t="inlineStr">
        <is>
          <t>aimTolerance</t>
        </is>
      </c>
      <c r="E307" s="7" t="n">
        <v>4</v>
      </c>
    </row>
    <row r="308">
      <c r="A308" s="7" t="inlineStr">
        <is>
          <t>Assets/Prefabs/Enemies/RangedEnemy/RangedEnemy.prefab</t>
        </is>
      </c>
      <c r="B308" s="7" t="inlineStr">
        <is>
          <t>RangedEnemy</t>
        </is>
      </c>
      <c r="C308" s="7" t="inlineStr">
        <is>
          <t>TriangleEnemy</t>
        </is>
      </c>
      <c r="D308" s="7" t="inlineStr">
        <is>
          <t>noseLocalY</t>
        </is>
      </c>
      <c r="E308" s="7" t="n">
        <v>-0.45</v>
      </c>
    </row>
    <row r="309">
      <c r="A309" s="7" t="inlineStr">
        <is>
          <t>Assets/Prefabs/Relics/Relic 1.prefab</t>
        </is>
      </c>
      <c r="B309" s="7" t="inlineStr">
        <is>
          <t>Relic 1</t>
        </is>
      </c>
      <c r="C309" s="7" t="inlineStr">
        <is>
          <t>Relic</t>
        </is>
      </c>
      <c r="D309" s="7" t="inlineStr">
        <is>
          <t>relicIndex</t>
        </is>
      </c>
      <c r="E309" s="7" t="n">
        <v>0</v>
      </c>
    </row>
    <row r="310">
      <c r="A310" s="7" t="inlineStr">
        <is>
          <t>Assets/Prefabs/Relics/Relic 1.prefab</t>
        </is>
      </c>
      <c r="B310" s="7" t="inlineStr">
        <is>
          <t>Relic 1</t>
        </is>
      </c>
      <c r="C310" s="7" t="inlineStr">
        <is>
          <t>Relic</t>
        </is>
      </c>
      <c r="D310" s="7" t="inlineStr">
        <is>
          <t>playerTag</t>
        </is>
      </c>
      <c r="E310" s="7" t="inlineStr">
        <is>
          <t>Player</t>
        </is>
      </c>
    </row>
    <row r="311">
      <c r="A311" s="7" t="inlineStr">
        <is>
          <t>Assets/Prefabs/Relics/Relic 2.prefab</t>
        </is>
      </c>
      <c r="B311" s="7" t="inlineStr">
        <is>
          <t>Relic 2</t>
        </is>
      </c>
      <c r="C311" s="7" t="inlineStr">
        <is>
          <t>Relic</t>
        </is>
      </c>
      <c r="D311" s="7" t="inlineStr">
        <is>
          <t>relicIndex</t>
        </is>
      </c>
      <c r="E311" s="7" t="n">
        <v>1</v>
      </c>
    </row>
    <row r="312">
      <c r="A312" s="7" t="inlineStr">
        <is>
          <t>Assets/Prefabs/Relics/Relic 2.prefab</t>
        </is>
      </c>
      <c r="B312" s="7" t="inlineStr">
        <is>
          <t>Relic 2</t>
        </is>
      </c>
      <c r="C312" s="7" t="inlineStr">
        <is>
          <t>Relic</t>
        </is>
      </c>
      <c r="D312" s="7" t="inlineStr">
        <is>
          <t>playerTag</t>
        </is>
      </c>
      <c r="E312" s="7" t="inlineStr">
        <is>
          <t>Player</t>
        </is>
      </c>
    </row>
    <row r="313">
      <c r="A313" s="7" t="inlineStr">
        <is>
          <t>Assets/Prefabs/Relics/Relic 3.prefab</t>
        </is>
      </c>
      <c r="B313" s="7" t="inlineStr">
        <is>
          <t>Relic 3</t>
        </is>
      </c>
      <c r="C313" s="7" t="inlineStr">
        <is>
          <t>Relic</t>
        </is>
      </c>
      <c r="D313" s="7" t="inlineStr">
        <is>
          <t>relicIndex</t>
        </is>
      </c>
      <c r="E313" s="7" t="n">
        <v>2</v>
      </c>
    </row>
    <row r="314">
      <c r="A314" s="7" t="inlineStr">
        <is>
          <t>Assets/Prefabs/Relics/Relic 3.prefab</t>
        </is>
      </c>
      <c r="B314" s="7" t="inlineStr">
        <is>
          <t>Relic 3</t>
        </is>
      </c>
      <c r="C314" s="7" t="inlineStr">
        <is>
          <t>Relic</t>
        </is>
      </c>
      <c r="D314" s="7" t="inlineStr">
        <is>
          <t>playerTag</t>
        </is>
      </c>
      <c r="E314" s="7" t="inlineStr">
        <is>
          <t>Player</t>
        </is>
      </c>
    </row>
    <row r="315">
      <c r="A315" s="7" t="inlineStr">
        <is>
          <t>Assets/Prefabs/Relics/Relic 4.prefab</t>
        </is>
      </c>
      <c r="B315" s="7" t="inlineStr">
        <is>
          <t>Relic 4</t>
        </is>
      </c>
      <c r="C315" s="7" t="inlineStr">
        <is>
          <t>Relic</t>
        </is>
      </c>
      <c r="D315" s="7" t="inlineStr">
        <is>
          <t>relicIndex</t>
        </is>
      </c>
      <c r="E315" s="7" t="n">
        <v>3</v>
      </c>
    </row>
    <row r="316">
      <c r="A316" s="7" t="inlineStr">
        <is>
          <t>Assets/Prefabs/Relics/Relic 4.prefab</t>
        </is>
      </c>
      <c r="B316" s="7" t="inlineStr">
        <is>
          <t>Relic 4</t>
        </is>
      </c>
      <c r="C316" s="7" t="inlineStr">
        <is>
          <t>Relic</t>
        </is>
      </c>
      <c r="D316" s="7" t="inlineStr">
        <is>
          <t>playerTag</t>
        </is>
      </c>
      <c r="E316" s="7" t="inlineStr">
        <is>
          <t>Player</t>
        </is>
      </c>
    </row>
    <row r="317">
      <c r="A317" s="7" t="inlineStr">
        <is>
          <t>Assets/Prefabs/Relics/Relic 5.prefab</t>
        </is>
      </c>
      <c r="B317" s="7" t="inlineStr">
        <is>
          <t>Relic 5</t>
        </is>
      </c>
      <c r="C317" s="7" t="inlineStr">
        <is>
          <t>Relic</t>
        </is>
      </c>
      <c r="D317" s="7" t="inlineStr">
        <is>
          <t>relicIndex</t>
        </is>
      </c>
      <c r="E317" s="7" t="n">
        <v>4</v>
      </c>
    </row>
    <row r="318">
      <c r="A318" s="7" t="inlineStr">
        <is>
          <t>Assets/Prefabs/Relics/Relic 5.prefab</t>
        </is>
      </c>
      <c r="B318" s="7" t="inlineStr">
        <is>
          <t>Relic 5</t>
        </is>
      </c>
      <c r="C318" s="7" t="inlineStr">
        <is>
          <t>Relic</t>
        </is>
      </c>
      <c r="D318" s="7" t="inlineStr">
        <is>
          <t>playerTag</t>
        </is>
      </c>
      <c r="E318" s="7" t="inlineStr">
        <is>
          <t>Player</t>
        </is>
      </c>
    </row>
    <row r="319">
      <c r="A319" s="7" t="inlineStr">
        <is>
          <t>Assets/Prefabs/Relics/Relic 6.prefab</t>
        </is>
      </c>
      <c r="B319" s="7" t="inlineStr">
        <is>
          <t>Relic 6</t>
        </is>
      </c>
      <c r="C319" s="7" t="inlineStr">
        <is>
          <t>Relic</t>
        </is>
      </c>
      <c r="D319" s="7" t="inlineStr">
        <is>
          <t>relicIndex</t>
        </is>
      </c>
      <c r="E319" s="7" t="n">
        <v>5</v>
      </c>
    </row>
    <row r="320">
      <c r="A320" s="7" t="inlineStr">
        <is>
          <t>Assets/Prefabs/Relics/Relic 6.prefab</t>
        </is>
      </c>
      <c r="B320" s="7" t="inlineStr">
        <is>
          <t>Relic 6</t>
        </is>
      </c>
      <c r="C320" s="7" t="inlineStr">
        <is>
          <t>Relic</t>
        </is>
      </c>
      <c r="D320" s="7" t="inlineStr">
        <is>
          <t>playerTag</t>
        </is>
      </c>
      <c r="E320" s="7" t="inlineStr">
        <is>
          <t>Player</t>
        </is>
      </c>
    </row>
    <row r="321">
      <c r="A321" s="7" t="inlineStr">
        <is>
          <t>Assets/Prefabs/Relics/Relic 7.prefab</t>
        </is>
      </c>
      <c r="B321" s="7" t="inlineStr">
        <is>
          <t>Relic 7</t>
        </is>
      </c>
      <c r="C321" s="7" t="inlineStr">
        <is>
          <t>Relic</t>
        </is>
      </c>
      <c r="D321" s="7" t="inlineStr">
        <is>
          <t>relicIndex</t>
        </is>
      </c>
      <c r="E321" s="7" t="n">
        <v>6</v>
      </c>
    </row>
    <row r="322">
      <c r="A322" s="7" t="inlineStr">
        <is>
          <t>Assets/Prefabs/Relics/Relic 7.prefab</t>
        </is>
      </c>
      <c r="B322" s="7" t="inlineStr">
        <is>
          <t>Relic 7</t>
        </is>
      </c>
      <c r="C322" s="7" t="inlineStr">
        <is>
          <t>Relic</t>
        </is>
      </c>
      <c r="D322" s="7" t="inlineStr">
        <is>
          <t>playerTag</t>
        </is>
      </c>
      <c r="E322" s="7" t="inlineStr">
        <is>
          <t>Player</t>
        </is>
      </c>
    </row>
    <row r="323">
      <c r="A323" s="7" t="inlineStr">
        <is>
          <t>Assets/Prefabs/Relics/Relic 8.prefab</t>
        </is>
      </c>
      <c r="B323" s="7" t="inlineStr">
        <is>
          <t>Relic 8</t>
        </is>
      </c>
      <c r="C323" s="7" t="inlineStr">
        <is>
          <t>Relic</t>
        </is>
      </c>
      <c r="D323" s="7" t="inlineStr">
        <is>
          <t>relicIndex</t>
        </is>
      </c>
      <c r="E323" s="7" t="n">
        <v>7</v>
      </c>
    </row>
    <row r="324">
      <c r="A324" s="7" t="inlineStr">
        <is>
          <t>Assets/Prefabs/Relics/Relic 8.prefab</t>
        </is>
      </c>
      <c r="B324" s="7" t="inlineStr">
        <is>
          <t>Relic 8</t>
        </is>
      </c>
      <c r="C324" s="7" t="inlineStr">
        <is>
          <t>Relic</t>
        </is>
      </c>
      <c r="D324" s="7" t="inlineStr">
        <is>
          <t>playerTag</t>
        </is>
      </c>
      <c r="E324" s="7" t="inlineStr">
        <is>
          <t>Player</t>
        </is>
      </c>
    </row>
    <row r="325">
      <c r="A325" s="7" t="inlineStr">
        <is>
          <t>Assets/Prefabs/Upgrades/PlayerStomp Bullet Pool.prefab</t>
        </is>
      </c>
      <c r="B325" s="7" t="inlineStr">
        <is>
          <t>PlayerStomp Bullet Pool</t>
        </is>
      </c>
      <c r="C325" s="7" t="inlineStr">
        <is>
          <t>BulletPool</t>
        </is>
      </c>
      <c r="D325" s="7" t="inlineStr">
        <is>
          <t>bulletPrefab</t>
        </is>
      </c>
      <c r="E325" s="7" t="inlineStr">
        <is>
          <t>-&gt;PlayerStompBullet</t>
        </is>
      </c>
    </row>
    <row r="326">
      <c r="A326" s="7" t="inlineStr">
        <is>
          <t>Assets/Prefabs/Upgrades/PlayerStomp Bullet Pool.prefab</t>
        </is>
      </c>
      <c r="B326" s="7" t="inlineStr">
        <is>
          <t>PlayerStomp Bullet Pool</t>
        </is>
      </c>
      <c r="C326" s="7" t="inlineStr">
        <is>
          <t>BulletPool</t>
        </is>
      </c>
      <c r="D326" s="7" t="inlineStr">
        <is>
          <t>initialPoolSize</t>
        </is>
      </c>
      <c r="E326" s="7" t="n">
        <v>100</v>
      </c>
    </row>
    <row r="327">
      <c r="A327" s="7" t="inlineStr">
        <is>
          <t>Assets/Prefabs/Upgrades/PlayerStomp Bullet Pool.prefab</t>
        </is>
      </c>
      <c r="B327" s="7" t="inlineStr">
        <is>
          <t>PlayerStomp Bullet Pool</t>
        </is>
      </c>
      <c r="C327" s="7" t="inlineStr">
        <is>
          <t>BulletPool</t>
        </is>
      </c>
      <c r="D327" s="7" t="inlineStr">
        <is>
          <t>maxPoolSize</t>
        </is>
      </c>
      <c r="E327" s="7" t="n">
        <v>300</v>
      </c>
    </row>
    <row r="328">
      <c r="A328" s="7" t="inlineStr">
        <is>
          <t>Assets/Prefabs/Upgrades/__Pack Manager__.prefab</t>
        </is>
      </c>
      <c r="B328" s="7" t="inlineStr">
        <is>
          <t>__Pack Manager__</t>
        </is>
      </c>
      <c r="C328" s="7" t="inlineStr">
        <is>
          <t>CigPool</t>
        </is>
      </c>
      <c r="D328" s="7" t="inlineStr">
        <is>
          <t>catalog</t>
        </is>
      </c>
      <c r="E328" s="7" t="inlineStr">
        <is>
          <t>-&gt;Primary Dmg &amp; Crit, -&gt;Secondary Dmg &amp; Crit, -&gt;Stomp Power, -&gt;Dash Post Dmg, -&gt;Primary DmgInc &amp; Bullet Bounce, -&gt;Secondary DmgInc &amp; Bullet Bounce, -&gt;Stomp Circle, -&gt;Dash AOEDmg, -&gt;Primary FireRate, -&gt;Secondary Pellet inc, -&gt;Chain Stomp, -&gt;Chain Dash</t>
        </is>
      </c>
    </row>
    <row r="329">
      <c r="A329" s="7" t="inlineStr">
        <is>
          <t>Assets/Prefabs/Upgrades/__Pack Manager__.prefab</t>
        </is>
      </c>
      <c r="B329" s="7" t="inlineStr">
        <is>
          <t>__Pack Manager__</t>
        </is>
      </c>
      <c r="C329" s="7" t="inlineStr">
        <is>
          <t>DebugUpgradeInjector</t>
        </is>
      </c>
      <c r="D329" s="7" t="inlineStr">
        <is>
          <t>grantOnStart</t>
        </is>
      </c>
      <c r="E329" s="7" t="inlineStr">
        <is>
          <t>{"data": null, "tier": 0, "rarity": 0, "startBurning": 0}</t>
        </is>
      </c>
    </row>
    <row r="330">
      <c r="A330" s="7" t="inlineStr">
        <is>
          <t>Assets/Prefabs/Enemies/Boss_Prefab/BossDefinition_01.asset</t>
        </is>
      </c>
      <c r="B330" s="7" t="inlineStr">
        <is>
          <t>(asset)</t>
        </is>
      </c>
      <c r="C330" s="7" t="inlineStr">
        <is>
          <t>BossDefinition</t>
        </is>
      </c>
      <c r="D330" s="7" t="inlineStr">
        <is>
          <t>bossPrefab</t>
        </is>
      </c>
      <c r="E330" s="7" t="inlineStr">
        <is>
          <t>-&gt;MiniBoss1</t>
        </is>
      </c>
    </row>
    <row r="331">
      <c r="A331" s="7" t="inlineStr">
        <is>
          <t>Assets/Prefabs/Enemies/Boss_Prefab/BossDefinition_01.asset</t>
        </is>
      </c>
      <c r="B331" s="7" t="inlineStr">
        <is>
          <t>(asset)</t>
        </is>
      </c>
      <c r="C331" s="7" t="inlineStr">
        <is>
          <t>BossDefinition</t>
        </is>
      </c>
      <c r="D331" s="7" t="inlineStr">
        <is>
          <t>arenaBounds</t>
        </is>
      </c>
      <c r="E331" s="7" t="inlineStr">
        <is>
          <t>{"m_Center": {"x": 0, "y": 0, "z": 0}, "m_Extent": {"x": 0, "y": 0, "z": 0}}</t>
        </is>
      </c>
    </row>
    <row r="332">
      <c r="A332" s="7" t="inlineStr">
        <is>
          <t>Assets/Prefabs/Upgrades/Rarity Config.asset</t>
        </is>
      </c>
      <c r="B332" s="7" t="inlineStr">
        <is>
          <t>(asset)</t>
        </is>
      </c>
      <c r="C332" s="7" t="inlineStr">
        <is>
          <t>RarityConfig</t>
        </is>
      </c>
      <c r="D332" s="7" t="inlineStr">
        <is>
          <t>common</t>
        </is>
      </c>
      <c r="E332" s="7" t="n">
        <v>0</v>
      </c>
    </row>
    <row r="333">
      <c r="A333" s="7" t="inlineStr">
        <is>
          <t>Assets/Prefabs/Upgrades/Rarity Config.asset</t>
        </is>
      </c>
      <c r="B333" s="7" t="inlineStr">
        <is>
          <t>(asset)</t>
        </is>
      </c>
      <c r="C333" s="7" t="inlineStr">
        <is>
          <t>RarityConfig</t>
        </is>
      </c>
      <c r="D333" s="7" t="inlineStr">
        <is>
          <t>uncommon</t>
        </is>
      </c>
      <c r="E333" s="7" t="n">
        <v>0.1</v>
      </c>
    </row>
    <row r="334">
      <c r="A334" s="7" t="inlineStr">
        <is>
          <t>Assets/Prefabs/Upgrades/Rarity Config.asset</t>
        </is>
      </c>
      <c r="B334" s="7" t="inlineStr">
        <is>
          <t>(asset)</t>
        </is>
      </c>
      <c r="C334" s="7" t="inlineStr">
        <is>
          <t>RarityConfig</t>
        </is>
      </c>
      <c r="D334" s="7" t="inlineStr">
        <is>
          <t>rare</t>
        </is>
      </c>
      <c r="E334" s="7" t="n">
        <v>0.25</v>
      </c>
    </row>
    <row r="335">
      <c r="A335" s="7" t="inlineStr">
        <is>
          <t>Assets/Prefabs/Upgrades/Rarity Config.asset</t>
        </is>
      </c>
      <c r="B335" s="7" t="inlineStr">
        <is>
          <t>(asset)</t>
        </is>
      </c>
      <c r="C335" s="7" t="inlineStr">
        <is>
          <t>RarityConfig</t>
        </is>
      </c>
      <c r="D335" s="7" t="inlineStr">
        <is>
          <t>epic</t>
        </is>
      </c>
      <c r="E335" s="7" t="n">
        <v>0.5</v>
      </c>
    </row>
    <row r="336">
      <c r="A336" s="7" t="inlineStr">
        <is>
          <t>Assets/Prefabs/Upgrades/Electric/Chain Dash.asset</t>
        </is>
      </c>
      <c r="B336" s="7" t="inlineStr">
        <is>
          <t>(asset)</t>
        </is>
      </c>
      <c r="C336" s="7" t="inlineStr">
        <is>
          <t>ChainDashCigData</t>
        </is>
      </c>
      <c r="D336" s="7" t="inlineStr">
        <is>
          <t>id</t>
        </is>
      </c>
      <c r="E336" s="7" t="inlineStr">
        <is>
          <t>Electric-4</t>
        </is>
      </c>
    </row>
    <row r="337">
      <c r="A337" s="7" t="inlineStr">
        <is>
          <t>Assets/Prefabs/Upgrades/Electric/Chain Dash.asset</t>
        </is>
      </c>
      <c r="B337" s="7" t="inlineStr">
        <is>
          <t>(asset)</t>
        </is>
      </c>
      <c r="C337" s="7" t="inlineStr">
        <is>
          <t>ChainDashCigData</t>
        </is>
      </c>
      <c r="D337" s="7" t="inlineStr">
        <is>
          <t>displayName</t>
        </is>
      </c>
      <c r="E337" s="7" t="inlineStr">
        <is>
          <t>Chain Dash</t>
        </is>
      </c>
    </row>
    <row r="338">
      <c r="A338" s="7" t="inlineStr">
        <is>
          <t>Assets/Prefabs/Upgrades/Electric/Chain Dash.asset</t>
        </is>
      </c>
      <c r="B338" s="7" t="inlineStr">
        <is>
          <t>(asset)</t>
        </is>
      </c>
      <c r="C338" s="7" t="inlineStr">
        <is>
          <t>ChainDashCigData</t>
        </is>
      </c>
      <c r="D338" s="7" t="inlineStr">
        <is>
          <t>description</t>
        </is>
      </c>
      <c r="E338" s="7" t="inlineStr">
        <is>
          <t>Chain Dash</t>
        </is>
      </c>
    </row>
    <row r="339">
      <c r="A339" s="7" t="inlineStr">
        <is>
          <t>Assets/Prefabs/Upgrades/Electric/Chain Dash.asset</t>
        </is>
      </c>
      <c r="B339" s="7" t="inlineStr">
        <is>
          <t>(asset)</t>
        </is>
      </c>
      <c r="C339" s="7" t="inlineStr">
        <is>
          <t>ChainDashCigData</t>
        </is>
      </c>
      <c r="D339" s="7" t="inlineStr">
        <is>
          <t>brand</t>
        </is>
      </c>
      <c r="E339" s="7" t="n">
        <v>6</v>
      </c>
    </row>
    <row r="340">
      <c r="A340" s="7" t="inlineStr">
        <is>
          <t>Assets/Prefabs/Upgrades/Electric/Chain Dash.asset</t>
        </is>
      </c>
      <c r="B340" s="7" t="inlineStr">
        <is>
          <t>(asset)</t>
        </is>
      </c>
      <c r="C340" s="7" t="inlineStr">
        <is>
          <t>ChainDashCigData</t>
        </is>
      </c>
      <c r="D340" s="7" t="inlineStr">
        <is>
          <t>targetSlot</t>
        </is>
      </c>
      <c r="E340" s="7" t="n">
        <v>3</v>
      </c>
    </row>
    <row r="341">
      <c r="A341" s="7" t="inlineStr">
        <is>
          <t>Assets/Prefabs/Upgrades/Electric/Chain Dash.asset</t>
        </is>
      </c>
      <c r="B341" s="7" t="inlineStr">
        <is>
          <t>(asset)</t>
        </is>
      </c>
      <c r="C341" s="7" t="inlineStr">
        <is>
          <t>ChainDashCigData</t>
        </is>
      </c>
      <c r="D341" s="7" t="inlineStr">
        <is>
          <t>hasRarity</t>
        </is>
      </c>
      <c r="E341" s="7" t="n">
        <v>0</v>
      </c>
    </row>
    <row r="342">
      <c r="A342" s="7" t="inlineStr">
        <is>
          <t>Assets/Prefabs/Upgrades/Electric/Chain Dash.asset</t>
        </is>
      </c>
      <c r="B342" s="7" t="inlineStr">
        <is>
          <t>(asset)</t>
        </is>
      </c>
      <c r="C342" s="7" t="inlineStr">
        <is>
          <t>ChainDashCigData</t>
        </is>
      </c>
      <c r="D342" s="7" t="inlineStr">
        <is>
          <t>rarityConfig</t>
        </is>
      </c>
      <c r="E342" s="7" t="inlineStr">
        <is>
          <t>-&gt;Rarity Config</t>
        </is>
      </c>
    </row>
    <row r="343">
      <c r="A343" s="7" t="inlineStr">
        <is>
          <t>Assets/Prefabs/Upgrades/Electric/Chain Dash.asset</t>
        </is>
      </c>
      <c r="B343" s="7" t="inlineStr">
        <is>
          <t>(asset)</t>
        </is>
      </c>
      <c r="C343" s="7" t="inlineStr">
        <is>
          <t>ChainDashCigData</t>
        </is>
      </c>
      <c r="D343" s="7" t="inlineStr">
        <is>
          <t>cost</t>
        </is>
      </c>
      <c r="E343" s="7" t="n">
        <v>10</v>
      </c>
    </row>
    <row r="344">
      <c r="A344" s="7" t="inlineStr">
        <is>
          <t>Assets/Prefabs/Upgrades/Electric/Chain Dash.asset</t>
        </is>
      </c>
      <c r="B344" s="7" t="inlineStr">
        <is>
          <t>(asset)</t>
        </is>
      </c>
      <c r="C344" s="7" t="inlineStr">
        <is>
          <t>ChainDashCigData</t>
        </is>
      </c>
      <c r="D344" s="7" t="inlineStr">
        <is>
          <t>extraChargesPerTier</t>
        </is>
      </c>
      <c r="E344" s="7" t="inlineStr">
        <is>
          <t>tier1=1; tier2=2; tier3=3; tier4=4</t>
        </is>
      </c>
    </row>
    <row r="345">
      <c r="A345" s="7" t="inlineStr">
        <is>
          <t>Assets/Prefabs/Upgrades/Electric/Chain Dash.asset</t>
        </is>
      </c>
      <c r="B345" s="7" t="inlineStr">
        <is>
          <t>(asset)</t>
        </is>
      </c>
      <c r="C345" s="7" t="inlineStr">
        <is>
          <t>ChainDashCigData</t>
        </is>
      </c>
      <c r="D345" s="7" t="inlineStr">
        <is>
          <t>cooldownPenaltyPerTier</t>
        </is>
      </c>
      <c r="E345" s="7" t="inlineStr">
        <is>
          <t>tier1=0.25; tier2=0.5; tier3=0.75; tier4=1</t>
        </is>
      </c>
    </row>
    <row r="346">
      <c r="A346" s="7" t="inlineStr">
        <is>
          <t>Assets/Prefabs/Upgrades/Electric/Chain Stomp.asset</t>
        </is>
      </c>
      <c r="B346" s="7" t="inlineStr">
        <is>
          <t>(asset)</t>
        </is>
      </c>
      <c r="C346" s="7" t="inlineStr">
        <is>
          <t>ChainStompCigData</t>
        </is>
      </c>
      <c r="D346" s="7" t="inlineStr">
        <is>
          <t>id</t>
        </is>
      </c>
      <c r="E346" s="7" t="inlineStr">
        <is>
          <t>Electric-3</t>
        </is>
      </c>
    </row>
    <row r="347">
      <c r="A347" s="7" t="inlineStr">
        <is>
          <t>Assets/Prefabs/Upgrades/Electric/Chain Stomp.asset</t>
        </is>
      </c>
      <c r="B347" s="7" t="inlineStr">
        <is>
          <t>(asset)</t>
        </is>
      </c>
      <c r="C347" s="7" t="inlineStr">
        <is>
          <t>ChainStompCigData</t>
        </is>
      </c>
      <c r="D347" s="7" t="inlineStr">
        <is>
          <t>displayName</t>
        </is>
      </c>
      <c r="E347" s="7" t="inlineStr">
        <is>
          <t>Chain Stomp</t>
        </is>
      </c>
    </row>
    <row r="348">
      <c r="A348" s="7" t="inlineStr">
        <is>
          <t>Assets/Prefabs/Upgrades/Electric/Chain Stomp.asset</t>
        </is>
      </c>
      <c r="B348" s="7" t="inlineStr">
        <is>
          <t>(asset)</t>
        </is>
      </c>
      <c r="C348" s="7" t="inlineStr">
        <is>
          <t>ChainStompCigData</t>
        </is>
      </c>
      <c r="D348" s="7" t="inlineStr">
        <is>
          <t>description</t>
        </is>
      </c>
      <c r="E348" s="7" t="inlineStr">
        <is>
          <t>inc the number of stomps</t>
        </is>
      </c>
    </row>
    <row r="349">
      <c r="A349" s="7" t="inlineStr">
        <is>
          <t>Assets/Prefabs/Upgrades/Electric/Chain Stomp.asset</t>
        </is>
      </c>
      <c r="B349" s="7" t="inlineStr">
        <is>
          <t>(asset)</t>
        </is>
      </c>
      <c r="C349" s="7" t="inlineStr">
        <is>
          <t>ChainStompCigData</t>
        </is>
      </c>
      <c r="D349" s="7" t="inlineStr">
        <is>
          <t>brand</t>
        </is>
      </c>
      <c r="E349" s="7" t="n">
        <v>6</v>
      </c>
    </row>
    <row r="350">
      <c r="A350" s="7" t="inlineStr">
        <is>
          <t>Assets/Prefabs/Upgrades/Electric/Chain Stomp.asset</t>
        </is>
      </c>
      <c r="B350" s="7" t="inlineStr">
        <is>
          <t>(asset)</t>
        </is>
      </c>
      <c r="C350" s="7" t="inlineStr">
        <is>
          <t>ChainStompCigData</t>
        </is>
      </c>
      <c r="D350" s="7" t="inlineStr">
        <is>
          <t>targetSlot</t>
        </is>
      </c>
      <c r="E350" s="7" t="n">
        <v>2</v>
      </c>
    </row>
    <row r="351">
      <c r="A351" s="7" t="inlineStr">
        <is>
          <t>Assets/Prefabs/Upgrades/Electric/Chain Stomp.asset</t>
        </is>
      </c>
      <c r="B351" s="7" t="inlineStr">
        <is>
          <t>(asset)</t>
        </is>
      </c>
      <c r="C351" s="7" t="inlineStr">
        <is>
          <t>ChainStompCigData</t>
        </is>
      </c>
      <c r="D351" s="7" t="inlineStr">
        <is>
          <t>hasRarity</t>
        </is>
      </c>
      <c r="E351" s="7" t="n">
        <v>0</v>
      </c>
    </row>
    <row r="352">
      <c r="A352" s="7" t="inlineStr">
        <is>
          <t>Assets/Prefabs/Upgrades/Electric/Chain Stomp.asset</t>
        </is>
      </c>
      <c r="B352" s="7" t="inlineStr">
        <is>
          <t>(asset)</t>
        </is>
      </c>
      <c r="C352" s="7" t="inlineStr">
        <is>
          <t>ChainStompCigData</t>
        </is>
      </c>
      <c r="D352" s="7" t="inlineStr">
        <is>
          <t>cost</t>
        </is>
      </c>
      <c r="E352" s="7" t="n">
        <v>10</v>
      </c>
    </row>
    <row r="353">
      <c r="A353" s="7" t="inlineStr">
        <is>
          <t>Assets/Prefabs/Upgrades/Electric/Chain Stomp.asset</t>
        </is>
      </c>
      <c r="B353" s="7" t="inlineStr">
        <is>
          <t>(asset)</t>
        </is>
      </c>
      <c r="C353" s="7" t="inlineStr">
        <is>
          <t>ChainStompCigData</t>
        </is>
      </c>
      <c r="D353" s="7" t="inlineStr">
        <is>
          <t>extraChargesPerTier</t>
        </is>
      </c>
      <c r="E353" s="7" t="inlineStr">
        <is>
          <t>tier1=1; tier2=2; tier3=3; tier4=4</t>
        </is>
      </c>
    </row>
    <row r="354">
      <c r="A354" s="7" t="inlineStr">
        <is>
          <t>Assets/Prefabs/Upgrades/Electric/Chain Stomp.asset</t>
        </is>
      </c>
      <c r="B354" s="7" t="inlineStr">
        <is>
          <t>(asset)</t>
        </is>
      </c>
      <c r="C354" s="7" t="inlineStr">
        <is>
          <t>ChainStompCigData</t>
        </is>
      </c>
      <c r="D354" s="7" t="inlineStr">
        <is>
          <t>cooldownPenaltyPerTier</t>
        </is>
      </c>
      <c r="E354" s="7" t="inlineStr">
        <is>
          <t>tier1=0.5; tier2=1; tier3=1.5; tier4=2</t>
        </is>
      </c>
    </row>
    <row r="355">
      <c r="A355" s="7" t="inlineStr">
        <is>
          <t>Assets/Prefabs/Upgrades/Electric/Primary FireRate.asset</t>
        </is>
      </c>
      <c r="B355" s="7" t="inlineStr">
        <is>
          <t>(asset)</t>
        </is>
      </c>
      <c r="C355" s="7" t="inlineStr">
        <is>
          <t>FireRateCigData</t>
        </is>
      </c>
      <c r="D355" s="7" t="inlineStr">
        <is>
          <t>id</t>
        </is>
      </c>
      <c r="E355" s="7" t="inlineStr">
        <is>
          <t>Electric-1</t>
        </is>
      </c>
    </row>
    <row r="356">
      <c r="A356" s="7" t="inlineStr">
        <is>
          <t>Assets/Prefabs/Upgrades/Electric/Primary FireRate.asset</t>
        </is>
      </c>
      <c r="B356" s="7" t="inlineStr">
        <is>
          <t>(asset)</t>
        </is>
      </c>
      <c r="C356" s="7" t="inlineStr">
        <is>
          <t>FireRateCigData</t>
        </is>
      </c>
      <c r="D356" s="7" t="inlineStr">
        <is>
          <t>displayName</t>
        </is>
      </c>
      <c r="E356" s="7" t="inlineStr">
        <is>
          <t>Primary Firerate</t>
        </is>
      </c>
    </row>
    <row r="357">
      <c r="A357" s="7" t="inlineStr">
        <is>
          <t>Assets/Prefabs/Upgrades/Electric/Primary FireRate.asset</t>
        </is>
      </c>
      <c r="B357" s="7" t="inlineStr">
        <is>
          <t>(asset)</t>
        </is>
      </c>
      <c r="C357" s="7" t="inlineStr">
        <is>
          <t>FireRateCigData</t>
        </is>
      </c>
      <c r="D357" s="7" t="inlineStr">
        <is>
          <t>description</t>
        </is>
      </c>
      <c r="E357" s="7" t="inlineStr">
        <is>
          <t>Inc primary weapon Firerate</t>
        </is>
      </c>
    </row>
    <row r="358">
      <c r="A358" s="7" t="inlineStr">
        <is>
          <t>Assets/Prefabs/Upgrades/Electric/Primary FireRate.asset</t>
        </is>
      </c>
      <c r="B358" s="7" t="inlineStr">
        <is>
          <t>(asset)</t>
        </is>
      </c>
      <c r="C358" s="7" t="inlineStr">
        <is>
          <t>FireRateCigData</t>
        </is>
      </c>
      <c r="D358" s="7" t="inlineStr">
        <is>
          <t>brand</t>
        </is>
      </c>
      <c r="E358" s="7" t="n">
        <v>6</v>
      </c>
    </row>
    <row r="359">
      <c r="A359" s="7" t="inlineStr">
        <is>
          <t>Assets/Prefabs/Upgrades/Electric/Primary FireRate.asset</t>
        </is>
      </c>
      <c r="B359" s="7" t="inlineStr">
        <is>
          <t>(asset)</t>
        </is>
      </c>
      <c r="C359" s="7" t="inlineStr">
        <is>
          <t>FireRateCigData</t>
        </is>
      </c>
      <c r="D359" s="7" t="inlineStr">
        <is>
          <t>targetSlot</t>
        </is>
      </c>
      <c r="E359" s="7" t="n">
        <v>0</v>
      </c>
    </row>
    <row r="360">
      <c r="A360" s="7" t="inlineStr">
        <is>
          <t>Assets/Prefabs/Upgrades/Electric/Primary FireRate.asset</t>
        </is>
      </c>
      <c r="B360" s="7" t="inlineStr">
        <is>
          <t>(asset)</t>
        </is>
      </c>
      <c r="C360" s="7" t="inlineStr">
        <is>
          <t>FireRateCigData</t>
        </is>
      </c>
      <c r="D360" s="7" t="inlineStr">
        <is>
          <t>hasRarity</t>
        </is>
      </c>
      <c r="E360" s="7" t="n">
        <v>0</v>
      </c>
    </row>
    <row r="361">
      <c r="A361" s="7" t="inlineStr">
        <is>
          <t>Assets/Prefabs/Upgrades/Electric/Primary FireRate.asset</t>
        </is>
      </c>
      <c r="B361" s="7" t="inlineStr">
        <is>
          <t>(asset)</t>
        </is>
      </c>
      <c r="C361" s="7" t="inlineStr">
        <is>
          <t>FireRateCigData</t>
        </is>
      </c>
      <c r="D361" s="7" t="inlineStr">
        <is>
          <t>rarityConfig</t>
        </is>
      </c>
      <c r="E361" s="7" t="inlineStr">
        <is>
          <t>-&gt;Rarity Config</t>
        </is>
      </c>
    </row>
    <row r="362">
      <c r="A362" s="7" t="inlineStr">
        <is>
          <t>Assets/Prefabs/Upgrades/Electric/Primary FireRate.asset</t>
        </is>
      </c>
      <c r="B362" s="7" t="inlineStr">
        <is>
          <t>(asset)</t>
        </is>
      </c>
      <c r="C362" s="7" t="inlineStr">
        <is>
          <t>FireRateCigData</t>
        </is>
      </c>
      <c r="D362" s="7" t="inlineStr">
        <is>
          <t>cost</t>
        </is>
      </c>
      <c r="E362" s="7" t="n">
        <v>10</v>
      </c>
    </row>
    <row r="363">
      <c r="A363" s="7" t="inlineStr">
        <is>
          <t>Assets/Prefabs/Upgrades/Electric/Primary FireRate.asset</t>
        </is>
      </c>
      <c r="B363" s="7" t="inlineStr">
        <is>
          <t>(asset)</t>
        </is>
      </c>
      <c r="C363" s="7" t="inlineStr">
        <is>
          <t>FireRateCigData</t>
        </is>
      </c>
      <c r="D363" s="7" t="inlineStr">
        <is>
          <t>fireRateBonusPerTier</t>
        </is>
      </c>
      <c r="E363" s="7" t="inlineStr">
        <is>
          <t>tier1=0.1; tier2=0.2; tier3=0.3; tier4=0.45</t>
        </is>
      </c>
    </row>
    <row r="364">
      <c r="A364" s="7" t="inlineStr">
        <is>
          <t>Assets/Prefabs/Upgrades/Electric/Secondary Pellet inc.asset</t>
        </is>
      </c>
      <c r="B364" s="7" t="inlineStr">
        <is>
          <t>(asset)</t>
        </is>
      </c>
      <c r="C364" s="7" t="inlineStr">
        <is>
          <t>ShotgunPelletCountCigData</t>
        </is>
      </c>
      <c r="D364" s="7" t="inlineStr">
        <is>
          <t>id</t>
        </is>
      </c>
      <c r="E364" s="7" t="inlineStr">
        <is>
          <t>Electric-2</t>
        </is>
      </c>
    </row>
    <row r="365">
      <c r="A365" s="7" t="inlineStr">
        <is>
          <t>Assets/Prefabs/Upgrades/Electric/Secondary Pellet inc.asset</t>
        </is>
      </c>
      <c r="B365" s="7" t="inlineStr">
        <is>
          <t>(asset)</t>
        </is>
      </c>
      <c r="C365" s="7" t="inlineStr">
        <is>
          <t>ShotgunPelletCountCigData</t>
        </is>
      </c>
      <c r="D365" s="7" t="inlineStr">
        <is>
          <t>displayName</t>
        </is>
      </c>
      <c r="E365" s="7" t="inlineStr">
        <is>
          <t>Inc Secondary Pellets</t>
        </is>
      </c>
    </row>
    <row r="366">
      <c r="A366" s="7" t="inlineStr">
        <is>
          <t>Assets/Prefabs/Upgrades/Electric/Secondary Pellet inc.asset</t>
        </is>
      </c>
      <c r="B366" s="7" t="inlineStr">
        <is>
          <t>(asset)</t>
        </is>
      </c>
      <c r="C366" s="7" t="inlineStr">
        <is>
          <t>ShotgunPelletCountCigData</t>
        </is>
      </c>
      <c r="D366" s="7" t="inlineStr">
        <is>
          <t>description</t>
        </is>
      </c>
      <c r="E366" s="7" t="inlineStr">
        <is>
          <t>Inc Secondary Pellets</t>
        </is>
      </c>
    </row>
    <row r="367">
      <c r="A367" s="7" t="inlineStr">
        <is>
          <t>Assets/Prefabs/Upgrades/Electric/Secondary Pellet inc.asset</t>
        </is>
      </c>
      <c r="B367" s="7" t="inlineStr">
        <is>
          <t>(asset)</t>
        </is>
      </c>
      <c r="C367" s="7" t="inlineStr">
        <is>
          <t>ShotgunPelletCountCigData</t>
        </is>
      </c>
      <c r="D367" s="7" t="inlineStr">
        <is>
          <t>brand</t>
        </is>
      </c>
      <c r="E367" s="7" t="n">
        <v>6</v>
      </c>
    </row>
    <row r="368">
      <c r="A368" s="7" t="inlineStr">
        <is>
          <t>Assets/Prefabs/Upgrades/Electric/Secondary Pellet inc.asset</t>
        </is>
      </c>
      <c r="B368" s="7" t="inlineStr">
        <is>
          <t>(asset)</t>
        </is>
      </c>
      <c r="C368" s="7" t="inlineStr">
        <is>
          <t>ShotgunPelletCountCigData</t>
        </is>
      </c>
      <c r="D368" s="7" t="inlineStr">
        <is>
          <t>targetSlot</t>
        </is>
      </c>
      <c r="E368" s="7" t="n">
        <v>1</v>
      </c>
    </row>
    <row r="369">
      <c r="A369" s="7" t="inlineStr">
        <is>
          <t>Assets/Prefabs/Upgrades/Electric/Secondary Pellet inc.asset</t>
        </is>
      </c>
      <c r="B369" s="7" t="inlineStr">
        <is>
          <t>(asset)</t>
        </is>
      </c>
      <c r="C369" s="7" t="inlineStr">
        <is>
          <t>ShotgunPelletCountCigData</t>
        </is>
      </c>
      <c r="D369" s="7" t="inlineStr">
        <is>
          <t>hasRarity</t>
        </is>
      </c>
      <c r="E369" s="7" t="n">
        <v>0</v>
      </c>
    </row>
    <row r="370">
      <c r="A370" s="7" t="inlineStr">
        <is>
          <t>Assets/Prefabs/Upgrades/Electric/Secondary Pellet inc.asset</t>
        </is>
      </c>
      <c r="B370" s="7" t="inlineStr">
        <is>
          <t>(asset)</t>
        </is>
      </c>
      <c r="C370" s="7" t="inlineStr">
        <is>
          <t>ShotgunPelletCountCigData</t>
        </is>
      </c>
      <c r="D370" s="7" t="inlineStr">
        <is>
          <t>cost</t>
        </is>
      </c>
      <c r="E370" s="7" t="n">
        <v>0</v>
      </c>
    </row>
    <row r="371">
      <c r="A371" s="7" t="inlineStr">
        <is>
          <t>Assets/Prefabs/Upgrades/Electric/Secondary Pellet inc.asset</t>
        </is>
      </c>
      <c r="B371" s="7" t="inlineStr">
        <is>
          <t>(asset)</t>
        </is>
      </c>
      <c r="C371" s="7" t="inlineStr">
        <is>
          <t>ShotgunPelletCountCigData</t>
        </is>
      </c>
      <c r="D371" s="7" t="inlineStr">
        <is>
          <t>extraPelletsPerTier</t>
        </is>
      </c>
      <c r="E371" s="7" t="inlineStr">
        <is>
          <t>tier1=1; tier2=2; tier3=3; tier4=4</t>
        </is>
      </c>
    </row>
    <row r="372">
      <c r="A372" s="7" t="inlineStr">
        <is>
          <t>Assets/Prefabs/Upgrades/Mild/Dash Post Dmg.asset</t>
        </is>
      </c>
      <c r="B372" s="7" t="inlineStr">
        <is>
          <t>(asset)</t>
        </is>
      </c>
      <c r="C372" s="7" t="inlineStr">
        <is>
          <t>DashPostDamageCigData</t>
        </is>
      </c>
      <c r="D372" s="7" t="inlineStr">
        <is>
          <t>id</t>
        </is>
      </c>
      <c r="E372" s="7" t="inlineStr">
        <is>
          <t>Mild-4</t>
        </is>
      </c>
    </row>
    <row r="373">
      <c r="A373" s="7" t="inlineStr">
        <is>
          <t>Assets/Prefabs/Upgrades/Mild/Dash Post Dmg.asset</t>
        </is>
      </c>
      <c r="B373" s="7" t="inlineStr">
        <is>
          <t>(asset)</t>
        </is>
      </c>
      <c r="C373" s="7" t="inlineStr">
        <is>
          <t>DashPostDamageCigData</t>
        </is>
      </c>
      <c r="D373" s="7" t="inlineStr">
        <is>
          <t>displayName</t>
        </is>
      </c>
      <c r="E373" s="7" t="inlineStr">
        <is>
          <t>Dash PostDmg</t>
        </is>
      </c>
    </row>
    <row r="374">
      <c r="A374" s="7" t="inlineStr">
        <is>
          <t>Assets/Prefabs/Upgrades/Mild/Dash Post Dmg.asset</t>
        </is>
      </c>
      <c r="B374" s="7" t="inlineStr">
        <is>
          <t>(asset)</t>
        </is>
      </c>
      <c r="C374" s="7" t="inlineStr">
        <is>
          <t>DashPostDamageCigData</t>
        </is>
      </c>
      <c r="D374" s="7" t="inlineStr">
        <is>
          <t>description</t>
        </is>
      </c>
      <c r="E374" s="7" t="inlineStr">
        <is>
          <t>Dmg inc after dashing</t>
        </is>
      </c>
    </row>
    <row r="375">
      <c r="A375" s="7" t="inlineStr">
        <is>
          <t>Assets/Prefabs/Upgrades/Mild/Dash Post Dmg.asset</t>
        </is>
      </c>
      <c r="B375" s="7" t="inlineStr">
        <is>
          <t>(asset)</t>
        </is>
      </c>
      <c r="C375" s="7" t="inlineStr">
        <is>
          <t>DashPostDamageCigData</t>
        </is>
      </c>
      <c r="D375" s="7" t="inlineStr">
        <is>
          <t>brand</t>
        </is>
      </c>
      <c r="E375" s="7" t="n">
        <v>0</v>
      </c>
    </row>
    <row r="376">
      <c r="A376" s="7" t="inlineStr">
        <is>
          <t>Assets/Prefabs/Upgrades/Mild/Dash Post Dmg.asset</t>
        </is>
      </c>
      <c r="B376" s="7" t="inlineStr">
        <is>
          <t>(asset)</t>
        </is>
      </c>
      <c r="C376" s="7" t="inlineStr">
        <is>
          <t>DashPostDamageCigData</t>
        </is>
      </c>
      <c r="D376" s="7" t="inlineStr">
        <is>
          <t>targetSlot</t>
        </is>
      </c>
      <c r="E376" s="7" t="n">
        <v>3</v>
      </c>
    </row>
    <row r="377">
      <c r="A377" s="7" t="inlineStr">
        <is>
          <t>Assets/Prefabs/Upgrades/Mild/Dash Post Dmg.asset</t>
        </is>
      </c>
      <c r="B377" s="7" t="inlineStr">
        <is>
          <t>(asset)</t>
        </is>
      </c>
      <c r="C377" s="7" t="inlineStr">
        <is>
          <t>DashPostDamageCigData</t>
        </is>
      </c>
      <c r="D377" s="7" t="inlineStr">
        <is>
          <t>hasRarity</t>
        </is>
      </c>
      <c r="E377" s="7" t="n">
        <v>0</v>
      </c>
    </row>
    <row r="378">
      <c r="A378" s="7" t="inlineStr">
        <is>
          <t>Assets/Prefabs/Upgrades/Mild/Dash Post Dmg.asset</t>
        </is>
      </c>
      <c r="B378" s="7" t="inlineStr">
        <is>
          <t>(asset)</t>
        </is>
      </c>
      <c r="C378" s="7" t="inlineStr">
        <is>
          <t>DashPostDamageCigData</t>
        </is>
      </c>
      <c r="D378" s="7" t="inlineStr">
        <is>
          <t>rarityConfig</t>
        </is>
      </c>
      <c r="E378" s="7" t="inlineStr">
        <is>
          <t>-&gt;Rarity Config</t>
        </is>
      </c>
    </row>
    <row r="379">
      <c r="A379" s="7" t="inlineStr">
        <is>
          <t>Assets/Prefabs/Upgrades/Mild/Dash Post Dmg.asset</t>
        </is>
      </c>
      <c r="B379" s="7" t="inlineStr">
        <is>
          <t>(asset)</t>
        </is>
      </c>
      <c r="C379" s="7" t="inlineStr">
        <is>
          <t>DashPostDamageCigData</t>
        </is>
      </c>
      <c r="D379" s="7" t="inlineStr">
        <is>
          <t>cost</t>
        </is>
      </c>
      <c r="E379" s="7" t="n">
        <v>10</v>
      </c>
    </row>
    <row r="380">
      <c r="A380" s="7" t="inlineStr">
        <is>
          <t>Assets/Prefabs/Upgrades/Mild/Dash Post Dmg.asset</t>
        </is>
      </c>
      <c r="B380" s="7" t="inlineStr">
        <is>
          <t>(asset)</t>
        </is>
      </c>
      <c r="C380" s="7" t="inlineStr">
        <is>
          <t>DashPostDamageCigData</t>
        </is>
      </c>
      <c r="D380" s="7" t="inlineStr">
        <is>
          <t>damageBonusPerTier</t>
        </is>
      </c>
      <c r="E380" s="7" t="inlineStr">
        <is>
          <t>tier1=0.25; tier2=0.5; tier3=0.75; tier4=1</t>
        </is>
      </c>
    </row>
    <row r="381">
      <c r="A381" s="7" t="inlineStr">
        <is>
          <t>Assets/Prefabs/Upgrades/Mild/Dash Post Dmg.asset</t>
        </is>
      </c>
      <c r="B381" s="7" t="inlineStr">
        <is>
          <t>(asset)</t>
        </is>
      </c>
      <c r="C381" s="7" t="inlineStr">
        <is>
          <t>DashPostDamageCigData</t>
        </is>
      </c>
      <c r="D381" s="7" t="inlineStr">
        <is>
          <t>durationSeconds</t>
        </is>
      </c>
      <c r="E381" s="7" t="n">
        <v>2</v>
      </c>
    </row>
    <row r="382">
      <c r="A382" s="7" t="inlineStr">
        <is>
          <t>Assets/Prefabs/Upgrades/Mild/Primary Dmg &amp; Crit.asset</t>
        </is>
      </c>
      <c r="B382" s="7" t="inlineStr">
        <is>
          <t>(asset)</t>
        </is>
      </c>
      <c r="C382" s="7" t="inlineStr">
        <is>
          <t>CritChanceCigData</t>
        </is>
      </c>
      <c r="D382" s="7" t="inlineStr">
        <is>
          <t>id</t>
        </is>
      </c>
      <c r="E382" s="7" t="inlineStr">
        <is>
          <t>Mild-1</t>
        </is>
      </c>
    </row>
    <row r="383">
      <c r="A383" s="7" t="inlineStr">
        <is>
          <t>Assets/Prefabs/Upgrades/Mild/Primary Dmg &amp; Crit.asset</t>
        </is>
      </c>
      <c r="B383" s="7" t="inlineStr">
        <is>
          <t>(asset)</t>
        </is>
      </c>
      <c r="C383" s="7" t="inlineStr">
        <is>
          <t>CritChanceCigData</t>
        </is>
      </c>
      <c r="D383" s="7" t="inlineStr">
        <is>
          <t>displayName</t>
        </is>
      </c>
      <c r="E383" s="7" t="inlineStr">
        <is>
          <t>Primary Up</t>
        </is>
      </c>
    </row>
    <row r="384">
      <c r="A384" s="7" t="inlineStr">
        <is>
          <t>Assets/Prefabs/Upgrades/Mild/Primary Dmg &amp; Crit.asset</t>
        </is>
      </c>
      <c r="B384" s="7" t="inlineStr">
        <is>
          <t>(asset)</t>
        </is>
      </c>
      <c r="C384" s="7" t="inlineStr">
        <is>
          <t>CritChanceCigData</t>
        </is>
      </c>
      <c r="D384" s="7" t="inlineStr">
        <is>
          <t>description</t>
        </is>
      </c>
      <c r="E384" s="7" t="inlineStr">
        <is>
          <t>asd</t>
        </is>
      </c>
    </row>
    <row r="385">
      <c r="A385" s="7" t="inlineStr">
        <is>
          <t>Assets/Prefabs/Upgrades/Mild/Primary Dmg &amp; Crit.asset</t>
        </is>
      </c>
      <c r="B385" s="7" t="inlineStr">
        <is>
          <t>(asset)</t>
        </is>
      </c>
      <c r="C385" s="7" t="inlineStr">
        <is>
          <t>CritChanceCigData</t>
        </is>
      </c>
      <c r="D385" s="7" t="inlineStr">
        <is>
          <t>brand</t>
        </is>
      </c>
      <c r="E385" s="7" t="n">
        <v>0</v>
      </c>
    </row>
    <row r="386">
      <c r="A386" s="7" t="inlineStr">
        <is>
          <t>Assets/Prefabs/Upgrades/Mild/Primary Dmg &amp; Crit.asset</t>
        </is>
      </c>
      <c r="B386" s="7" t="inlineStr">
        <is>
          <t>(asset)</t>
        </is>
      </c>
      <c r="C386" s="7" t="inlineStr">
        <is>
          <t>CritChanceCigData</t>
        </is>
      </c>
      <c r="D386" s="7" t="inlineStr">
        <is>
          <t>targetSlot</t>
        </is>
      </c>
      <c r="E386" s="7" t="n">
        <v>0</v>
      </c>
    </row>
    <row r="387">
      <c r="A387" s="7" t="inlineStr">
        <is>
          <t>Assets/Prefabs/Upgrades/Mild/Primary Dmg &amp; Crit.asset</t>
        </is>
      </c>
      <c r="B387" s="7" t="inlineStr">
        <is>
          <t>(asset)</t>
        </is>
      </c>
      <c r="C387" s="7" t="inlineStr">
        <is>
          <t>CritChanceCigData</t>
        </is>
      </c>
      <c r="D387" s="7" t="inlineStr">
        <is>
          <t>hasRarity</t>
        </is>
      </c>
      <c r="E387" s="7" t="n">
        <v>1</v>
      </c>
    </row>
    <row r="388">
      <c r="A388" s="7" t="inlineStr">
        <is>
          <t>Assets/Prefabs/Upgrades/Mild/Primary Dmg &amp; Crit.asset</t>
        </is>
      </c>
      <c r="B388" s="7" t="inlineStr">
        <is>
          <t>(asset)</t>
        </is>
      </c>
      <c r="C388" s="7" t="inlineStr">
        <is>
          <t>CritChanceCigData</t>
        </is>
      </c>
      <c r="D388" s="7" t="inlineStr">
        <is>
          <t>rarityConfig</t>
        </is>
      </c>
      <c r="E388" s="7" t="inlineStr">
        <is>
          <t>-&gt;Rarity Config</t>
        </is>
      </c>
    </row>
    <row r="389">
      <c r="A389" s="7" t="inlineStr">
        <is>
          <t>Assets/Prefabs/Upgrades/Mild/Primary Dmg &amp; Crit.asset</t>
        </is>
      </c>
      <c r="B389" s="7" t="inlineStr">
        <is>
          <t>(asset)</t>
        </is>
      </c>
      <c r="C389" s="7" t="inlineStr">
        <is>
          <t>CritChanceCigData</t>
        </is>
      </c>
      <c r="D389" s="7" t="inlineStr">
        <is>
          <t>cost</t>
        </is>
      </c>
      <c r="E389" s="7" t="n">
        <v>10</v>
      </c>
    </row>
    <row r="390">
      <c r="A390" s="7" t="inlineStr">
        <is>
          <t>Assets/Prefabs/Upgrades/Mild/Primary Dmg &amp; Crit.asset</t>
        </is>
      </c>
      <c r="B390" s="7" t="inlineStr">
        <is>
          <t>(asset)</t>
        </is>
      </c>
      <c r="C390" s="7" t="inlineStr">
        <is>
          <t>CritChanceCigData</t>
        </is>
      </c>
      <c r="D390" s="7" t="inlineStr">
        <is>
          <t>critChancePerTier</t>
        </is>
      </c>
      <c r="E390" s="7" t="inlineStr">
        <is>
          <t>tier1=0.1; tier2=0.2; tier3=0.3; tier4=0.45</t>
        </is>
      </c>
    </row>
    <row r="391">
      <c r="A391" s="7" t="inlineStr">
        <is>
          <t>Assets/Prefabs/Upgrades/Mild/Primary Dmg &amp; Crit.asset</t>
        </is>
      </c>
      <c r="B391" s="7" t="inlineStr">
        <is>
          <t>(asset)</t>
        </is>
      </c>
      <c r="C391" s="7" t="inlineStr">
        <is>
          <t>CritChanceCigData</t>
        </is>
      </c>
      <c r="D391" s="7" t="inlineStr">
        <is>
          <t>baseCritDamageMultiplier</t>
        </is>
      </c>
      <c r="E391" s="7" t="n">
        <v>1.5</v>
      </c>
    </row>
    <row r="392">
      <c r="A392" s="7" t="inlineStr">
        <is>
          <t>Assets/Prefabs/Upgrades/Mild/Secondary Dmg &amp; Crit.asset</t>
        </is>
      </c>
      <c r="B392" s="7" t="inlineStr">
        <is>
          <t>(asset)</t>
        </is>
      </c>
      <c r="C392" s="7" t="inlineStr">
        <is>
          <t>CritChanceCigData</t>
        </is>
      </c>
      <c r="D392" s="7" t="inlineStr">
        <is>
          <t>id</t>
        </is>
      </c>
      <c r="E392" s="7" t="inlineStr">
        <is>
          <t>Mild-2</t>
        </is>
      </c>
    </row>
    <row r="393">
      <c r="A393" s="7" t="inlineStr">
        <is>
          <t>Assets/Prefabs/Upgrades/Mild/Secondary Dmg &amp; Crit.asset</t>
        </is>
      </c>
      <c r="B393" s="7" t="inlineStr">
        <is>
          <t>(asset)</t>
        </is>
      </c>
      <c r="C393" s="7" t="inlineStr">
        <is>
          <t>CritChanceCigData</t>
        </is>
      </c>
      <c r="D393" s="7" t="inlineStr">
        <is>
          <t>displayName</t>
        </is>
      </c>
      <c r="E393" s="7" t="inlineStr">
        <is>
          <t>Secondary Up</t>
        </is>
      </c>
    </row>
    <row r="394">
      <c r="A394" s="7" t="inlineStr">
        <is>
          <t>Assets/Prefabs/Upgrades/Mild/Secondary Dmg &amp; Crit.asset</t>
        </is>
      </c>
      <c r="B394" s="7" t="inlineStr">
        <is>
          <t>(asset)</t>
        </is>
      </c>
      <c r="C394" s="7" t="inlineStr">
        <is>
          <t>CritChanceCigData</t>
        </is>
      </c>
      <c r="D394" s="7" t="inlineStr">
        <is>
          <t>description</t>
        </is>
      </c>
      <c r="E394" s="7" t="inlineStr">
        <is>
          <t>Inc Dmg and Crit chance</t>
        </is>
      </c>
    </row>
    <row r="395">
      <c r="A395" s="7" t="inlineStr">
        <is>
          <t>Assets/Prefabs/Upgrades/Mild/Secondary Dmg &amp; Crit.asset</t>
        </is>
      </c>
      <c r="B395" s="7" t="inlineStr">
        <is>
          <t>(asset)</t>
        </is>
      </c>
      <c r="C395" s="7" t="inlineStr">
        <is>
          <t>CritChanceCigData</t>
        </is>
      </c>
      <c r="D395" s="7" t="inlineStr">
        <is>
          <t>brand</t>
        </is>
      </c>
      <c r="E395" s="7" t="n">
        <v>0</v>
      </c>
    </row>
    <row r="396">
      <c r="A396" s="7" t="inlineStr">
        <is>
          <t>Assets/Prefabs/Upgrades/Mild/Secondary Dmg &amp; Crit.asset</t>
        </is>
      </c>
      <c r="B396" s="7" t="inlineStr">
        <is>
          <t>(asset)</t>
        </is>
      </c>
      <c r="C396" s="7" t="inlineStr">
        <is>
          <t>CritChanceCigData</t>
        </is>
      </c>
      <c r="D396" s="7" t="inlineStr">
        <is>
          <t>targetSlot</t>
        </is>
      </c>
      <c r="E396" s="7" t="n">
        <v>1</v>
      </c>
    </row>
    <row r="397">
      <c r="A397" s="7" t="inlineStr">
        <is>
          <t>Assets/Prefabs/Upgrades/Mild/Secondary Dmg &amp; Crit.asset</t>
        </is>
      </c>
      <c r="B397" s="7" t="inlineStr">
        <is>
          <t>(asset)</t>
        </is>
      </c>
      <c r="C397" s="7" t="inlineStr">
        <is>
          <t>CritChanceCigData</t>
        </is>
      </c>
      <c r="D397" s="7" t="inlineStr">
        <is>
          <t>hasRarity</t>
        </is>
      </c>
      <c r="E397" s="7" t="n">
        <v>1</v>
      </c>
    </row>
    <row r="398">
      <c r="A398" s="7" t="inlineStr">
        <is>
          <t>Assets/Prefabs/Upgrades/Mild/Secondary Dmg &amp; Crit.asset</t>
        </is>
      </c>
      <c r="B398" s="7" t="inlineStr">
        <is>
          <t>(asset)</t>
        </is>
      </c>
      <c r="C398" s="7" t="inlineStr">
        <is>
          <t>CritChanceCigData</t>
        </is>
      </c>
      <c r="D398" s="7" t="inlineStr">
        <is>
          <t>rarityConfig</t>
        </is>
      </c>
      <c r="E398" s="7" t="inlineStr">
        <is>
          <t>-&gt;Rarity Config</t>
        </is>
      </c>
    </row>
    <row r="399">
      <c r="A399" s="7" t="inlineStr">
        <is>
          <t>Assets/Prefabs/Upgrades/Mild/Secondary Dmg &amp; Crit.asset</t>
        </is>
      </c>
      <c r="B399" s="7" t="inlineStr">
        <is>
          <t>(asset)</t>
        </is>
      </c>
      <c r="C399" s="7" t="inlineStr">
        <is>
          <t>CritChanceCigData</t>
        </is>
      </c>
      <c r="D399" s="7" t="inlineStr">
        <is>
          <t>cost</t>
        </is>
      </c>
      <c r="E399" s="7" t="n">
        <v>10</v>
      </c>
    </row>
    <row r="400">
      <c r="A400" s="7" t="inlineStr">
        <is>
          <t>Assets/Prefabs/Upgrades/Mild/Secondary Dmg &amp; Crit.asset</t>
        </is>
      </c>
      <c r="B400" s="7" t="inlineStr">
        <is>
          <t>(asset)</t>
        </is>
      </c>
      <c r="C400" s="7" t="inlineStr">
        <is>
          <t>CritChanceCigData</t>
        </is>
      </c>
      <c r="D400" s="7" t="inlineStr">
        <is>
          <t>critChancePerTier</t>
        </is>
      </c>
      <c r="E400" s="7" t="inlineStr">
        <is>
          <t>tier1=0.1; tier2=0.2; tier3=0.3; tier4=0.45</t>
        </is>
      </c>
    </row>
    <row r="401">
      <c r="A401" s="7" t="inlineStr">
        <is>
          <t>Assets/Prefabs/Upgrades/Mild/Secondary Dmg &amp; Crit.asset</t>
        </is>
      </c>
      <c r="B401" s="7" t="inlineStr">
        <is>
          <t>(asset)</t>
        </is>
      </c>
      <c r="C401" s="7" t="inlineStr">
        <is>
          <t>CritChanceCigData</t>
        </is>
      </c>
      <c r="D401" s="7" t="inlineStr">
        <is>
          <t>baseCritDamageMultiplier</t>
        </is>
      </c>
      <c r="E401" s="7" t="n">
        <v>1.5</v>
      </c>
    </row>
    <row r="402">
      <c r="A402" s="7" t="inlineStr">
        <is>
          <t>Assets/Prefabs/Upgrades/Mild/Stomp Power.asset</t>
        </is>
      </c>
      <c r="B402" s="7" t="inlineStr">
        <is>
          <t>(asset)</t>
        </is>
      </c>
      <c r="C402" s="7" t="inlineStr">
        <is>
          <t>StompPowerCigData</t>
        </is>
      </c>
      <c r="D402" s="7" t="inlineStr">
        <is>
          <t>id</t>
        </is>
      </c>
      <c r="E402" s="7" t="inlineStr">
        <is>
          <t>Mild-3</t>
        </is>
      </c>
    </row>
    <row r="403">
      <c r="A403" s="7" t="inlineStr">
        <is>
          <t>Assets/Prefabs/Upgrades/Mild/Stomp Power.asset</t>
        </is>
      </c>
      <c r="B403" s="7" t="inlineStr">
        <is>
          <t>(asset)</t>
        </is>
      </c>
      <c r="C403" s="7" t="inlineStr">
        <is>
          <t>StompPowerCigData</t>
        </is>
      </c>
      <c r="D403" s="7" t="inlineStr">
        <is>
          <t>displayName</t>
        </is>
      </c>
      <c r="E403" s="7" t="inlineStr">
        <is>
          <t>Stomp Power</t>
        </is>
      </c>
    </row>
    <row r="404">
      <c r="A404" s="7" t="inlineStr">
        <is>
          <t>Assets/Prefabs/Upgrades/Mild/Stomp Power.asset</t>
        </is>
      </c>
      <c r="B404" s="7" t="inlineStr">
        <is>
          <t>(asset)</t>
        </is>
      </c>
      <c r="C404" s="7" t="inlineStr">
        <is>
          <t>StompPowerCigData</t>
        </is>
      </c>
      <c r="D404" s="7" t="inlineStr">
        <is>
          <t>description</t>
        </is>
      </c>
      <c r="E404" s="7" t="inlineStr">
        <is>
          <t>Inc the Dmg and rad of the Stomp</t>
        </is>
      </c>
    </row>
    <row r="405">
      <c r="A405" s="7" t="inlineStr">
        <is>
          <t>Assets/Prefabs/Upgrades/Mild/Stomp Power.asset</t>
        </is>
      </c>
      <c r="B405" s="7" t="inlineStr">
        <is>
          <t>(asset)</t>
        </is>
      </c>
      <c r="C405" s="7" t="inlineStr">
        <is>
          <t>StompPowerCigData</t>
        </is>
      </c>
      <c r="D405" s="7" t="inlineStr">
        <is>
          <t>brand</t>
        </is>
      </c>
      <c r="E405" s="7" t="n">
        <v>0</v>
      </c>
    </row>
    <row r="406">
      <c r="A406" s="7" t="inlineStr">
        <is>
          <t>Assets/Prefabs/Upgrades/Mild/Stomp Power.asset</t>
        </is>
      </c>
      <c r="B406" s="7" t="inlineStr">
        <is>
          <t>(asset)</t>
        </is>
      </c>
      <c r="C406" s="7" t="inlineStr">
        <is>
          <t>StompPowerCigData</t>
        </is>
      </c>
      <c r="D406" s="7" t="inlineStr">
        <is>
          <t>targetSlot</t>
        </is>
      </c>
      <c r="E406" s="7" t="n">
        <v>2</v>
      </c>
    </row>
    <row r="407">
      <c r="A407" s="7" t="inlineStr">
        <is>
          <t>Assets/Prefabs/Upgrades/Mild/Stomp Power.asset</t>
        </is>
      </c>
      <c r="B407" s="7" t="inlineStr">
        <is>
          <t>(asset)</t>
        </is>
      </c>
      <c r="C407" s="7" t="inlineStr">
        <is>
          <t>StompPowerCigData</t>
        </is>
      </c>
      <c r="D407" s="7" t="inlineStr">
        <is>
          <t>hasRarity</t>
        </is>
      </c>
      <c r="E407" s="7" t="n">
        <v>1</v>
      </c>
    </row>
    <row r="408">
      <c r="A408" s="7" t="inlineStr">
        <is>
          <t>Assets/Prefabs/Upgrades/Mild/Stomp Power.asset</t>
        </is>
      </c>
      <c r="B408" s="7" t="inlineStr">
        <is>
          <t>(asset)</t>
        </is>
      </c>
      <c r="C408" s="7" t="inlineStr">
        <is>
          <t>StompPowerCigData</t>
        </is>
      </c>
      <c r="D408" s="7" t="inlineStr">
        <is>
          <t>rarityConfig</t>
        </is>
      </c>
      <c r="E408" s="7" t="inlineStr">
        <is>
          <t>-&gt;Rarity Config</t>
        </is>
      </c>
    </row>
    <row r="409">
      <c r="A409" s="7" t="inlineStr">
        <is>
          <t>Assets/Prefabs/Upgrades/Mild/Stomp Power.asset</t>
        </is>
      </c>
      <c r="B409" s="7" t="inlineStr">
        <is>
          <t>(asset)</t>
        </is>
      </c>
      <c r="C409" s="7" t="inlineStr">
        <is>
          <t>StompPowerCigData</t>
        </is>
      </c>
      <c r="D409" s="7" t="inlineStr">
        <is>
          <t>cost</t>
        </is>
      </c>
      <c r="E409" s="7" t="n">
        <v>10</v>
      </c>
    </row>
    <row r="410">
      <c r="A410" s="7" t="inlineStr">
        <is>
          <t>Assets/Prefabs/Upgrades/Mild/Stomp Power.asset</t>
        </is>
      </c>
      <c r="B410" s="7" t="inlineStr">
        <is>
          <t>(asset)</t>
        </is>
      </c>
      <c r="C410" s="7" t="inlineStr">
        <is>
          <t>StompPowerCigData</t>
        </is>
      </c>
      <c r="D410" s="7" t="inlineStr">
        <is>
          <t>damagePerTier</t>
        </is>
      </c>
      <c r="E410" s="7" t="inlineStr">
        <is>
          <t>tier1=2; tier2=5; tier3=9; tier4=14</t>
        </is>
      </c>
    </row>
    <row r="411">
      <c r="A411" s="7" t="inlineStr">
        <is>
          <t>Assets/Prefabs/Upgrades/Mild/Stomp Power.asset</t>
        </is>
      </c>
      <c r="B411" s="7" t="inlineStr">
        <is>
          <t>(asset)</t>
        </is>
      </c>
      <c r="C411" s="7" t="inlineStr">
        <is>
          <t>StompPowerCigData</t>
        </is>
      </c>
      <c r="D411" s="7" t="inlineStr">
        <is>
          <t>radiusPerTier</t>
        </is>
      </c>
      <c r="E411" s="7" t="inlineStr">
        <is>
          <t>tier1=1; tier2=2; tier3=3; tier4=4</t>
        </is>
      </c>
    </row>
    <row r="412">
      <c r="A412" s="7" t="inlineStr">
        <is>
          <t>Assets/Prefabs/Upgrades/Reg/Dash AOEDmg.asset</t>
        </is>
      </c>
      <c r="B412" s="7" t="inlineStr">
        <is>
          <t>(asset)</t>
        </is>
      </c>
      <c r="C412" s="7" t="inlineStr">
        <is>
          <t>DashAoECigData</t>
        </is>
      </c>
      <c r="D412" s="7" t="inlineStr">
        <is>
          <t>id</t>
        </is>
      </c>
      <c r="E412" s="7" t="inlineStr">
        <is>
          <t>Regular-4</t>
        </is>
      </c>
    </row>
    <row r="413">
      <c r="A413" s="7" t="inlineStr">
        <is>
          <t>Assets/Prefabs/Upgrades/Reg/Dash AOEDmg.asset</t>
        </is>
      </c>
      <c r="B413" s="7" t="inlineStr">
        <is>
          <t>(asset)</t>
        </is>
      </c>
      <c r="C413" s="7" t="inlineStr">
        <is>
          <t>DashAoECigData</t>
        </is>
      </c>
      <c r="D413" s="7" t="inlineStr">
        <is>
          <t>displayName</t>
        </is>
      </c>
      <c r="E413" s="7" t="inlineStr">
        <is>
          <t>Dash AOE Dmg</t>
        </is>
      </c>
    </row>
    <row r="414">
      <c r="A414" s="7" t="inlineStr">
        <is>
          <t>Assets/Prefabs/Upgrades/Reg/Dash AOEDmg.asset</t>
        </is>
      </c>
      <c r="B414" s="7" t="inlineStr">
        <is>
          <t>(asset)</t>
        </is>
      </c>
      <c r="C414" s="7" t="inlineStr">
        <is>
          <t>DashAoECigData</t>
        </is>
      </c>
      <c r="D414" s="7" t="inlineStr">
        <is>
          <t>description</t>
        </is>
      </c>
      <c r="E414" s="7" t="inlineStr">
        <is>
          <t>Dashing does AOE dmg</t>
        </is>
      </c>
    </row>
    <row r="415">
      <c r="A415" s="7" t="inlineStr">
        <is>
          <t>Assets/Prefabs/Upgrades/Reg/Dash AOEDmg.asset</t>
        </is>
      </c>
      <c r="B415" s="7" t="inlineStr">
        <is>
          <t>(asset)</t>
        </is>
      </c>
      <c r="C415" s="7" t="inlineStr">
        <is>
          <t>DashAoECigData</t>
        </is>
      </c>
      <c r="D415" s="7" t="inlineStr">
        <is>
          <t>brand</t>
        </is>
      </c>
      <c r="E415" s="7" t="n">
        <v>1</v>
      </c>
    </row>
    <row r="416">
      <c r="A416" s="7" t="inlineStr">
        <is>
          <t>Assets/Prefabs/Upgrades/Reg/Dash AOEDmg.asset</t>
        </is>
      </c>
      <c r="B416" s="7" t="inlineStr">
        <is>
          <t>(asset)</t>
        </is>
      </c>
      <c r="C416" s="7" t="inlineStr">
        <is>
          <t>DashAoECigData</t>
        </is>
      </c>
      <c r="D416" s="7" t="inlineStr">
        <is>
          <t>targetSlot</t>
        </is>
      </c>
      <c r="E416" s="7" t="n">
        <v>3</v>
      </c>
    </row>
    <row r="417">
      <c r="A417" s="7" t="inlineStr">
        <is>
          <t>Assets/Prefabs/Upgrades/Reg/Dash AOEDmg.asset</t>
        </is>
      </c>
      <c r="B417" s="7" t="inlineStr">
        <is>
          <t>(asset)</t>
        </is>
      </c>
      <c r="C417" s="7" t="inlineStr">
        <is>
          <t>DashAoECigData</t>
        </is>
      </c>
      <c r="D417" s="7" t="inlineStr">
        <is>
          <t>hasRarity</t>
        </is>
      </c>
      <c r="E417" s="7" t="n">
        <v>1</v>
      </c>
    </row>
    <row r="418">
      <c r="A418" s="7" t="inlineStr">
        <is>
          <t>Assets/Prefabs/Upgrades/Reg/Dash AOEDmg.asset</t>
        </is>
      </c>
      <c r="B418" s="7" t="inlineStr">
        <is>
          <t>(asset)</t>
        </is>
      </c>
      <c r="C418" s="7" t="inlineStr">
        <is>
          <t>DashAoECigData</t>
        </is>
      </c>
      <c r="D418" s="7" t="inlineStr">
        <is>
          <t>rarityConfig</t>
        </is>
      </c>
      <c r="E418" s="7" t="inlineStr">
        <is>
          <t>-&gt;Rarity Config</t>
        </is>
      </c>
    </row>
    <row r="419">
      <c r="A419" s="7" t="inlineStr">
        <is>
          <t>Assets/Prefabs/Upgrades/Reg/Dash AOEDmg.asset</t>
        </is>
      </c>
      <c r="B419" s="7" t="inlineStr">
        <is>
          <t>(asset)</t>
        </is>
      </c>
      <c r="C419" s="7" t="inlineStr">
        <is>
          <t>DashAoECigData</t>
        </is>
      </c>
      <c r="D419" s="7" t="inlineStr">
        <is>
          <t>cost</t>
        </is>
      </c>
      <c r="E419" s="7" t="n">
        <v>10</v>
      </c>
    </row>
    <row r="420">
      <c r="A420" s="7" t="inlineStr">
        <is>
          <t>Assets/Prefabs/Upgrades/Reg/Dash AOEDmg.asset</t>
        </is>
      </c>
      <c r="B420" s="7" t="inlineStr">
        <is>
          <t>(asset)</t>
        </is>
      </c>
      <c r="C420" s="7" t="inlineStr">
        <is>
          <t>DashAoECigData</t>
        </is>
      </c>
      <c r="D420" s="7" t="inlineStr">
        <is>
          <t>damagePerTier</t>
        </is>
      </c>
      <c r="E420" s="7" t="inlineStr">
        <is>
          <t>tier1=8; tier2=14; tier3=20; tier4=28</t>
        </is>
      </c>
    </row>
    <row r="421">
      <c r="A421" s="7" t="inlineStr">
        <is>
          <t>Assets/Prefabs/Upgrades/Reg/Dash AOEDmg.asset</t>
        </is>
      </c>
      <c r="B421" s="7" t="inlineStr">
        <is>
          <t>(asset)</t>
        </is>
      </c>
      <c r="C421" s="7" t="inlineStr">
        <is>
          <t>DashAoECigData</t>
        </is>
      </c>
      <c r="D421" s="7" t="inlineStr">
        <is>
          <t>knockbackPerTier</t>
        </is>
      </c>
      <c r="E421" s="7" t="inlineStr">
        <is>
          <t>tier1=12; tier2=16; tier3=20; tier4=25</t>
        </is>
      </c>
    </row>
    <row r="422">
      <c r="A422" s="7" t="inlineStr">
        <is>
          <t>Assets/Prefabs/Upgrades/Reg/Dash AOEDmg.asset</t>
        </is>
      </c>
      <c r="B422" s="7" t="inlineStr">
        <is>
          <t>(asset)</t>
        </is>
      </c>
      <c r="C422" s="7" t="inlineStr">
        <is>
          <t>DashAoECigData</t>
        </is>
      </c>
      <c r="D422" s="7" t="inlineStr">
        <is>
          <t>radius</t>
        </is>
      </c>
      <c r="E422" s="7" t="n">
        <v>2</v>
      </c>
    </row>
    <row r="423">
      <c r="A423" s="7" t="inlineStr">
        <is>
          <t>Assets/Prefabs/Upgrades/Reg/Primary DmgInc &amp; Bullet Bounce.asset</t>
        </is>
      </c>
      <c r="B423" s="7" t="inlineStr">
        <is>
          <t>(asset)</t>
        </is>
      </c>
      <c r="C423" s="7" t="inlineStr">
        <is>
          <t>BulletBounceCigData</t>
        </is>
      </c>
      <c r="D423" s="7" t="inlineStr">
        <is>
          <t>id</t>
        </is>
      </c>
      <c r="E423" s="7" t="inlineStr">
        <is>
          <t>Regular-1</t>
        </is>
      </c>
    </row>
    <row r="424">
      <c r="A424" s="7" t="inlineStr">
        <is>
          <t>Assets/Prefabs/Upgrades/Reg/Primary DmgInc &amp; Bullet Bounce.asset</t>
        </is>
      </c>
      <c r="B424" s="7" t="inlineStr">
        <is>
          <t>(asset)</t>
        </is>
      </c>
      <c r="C424" s="7" t="inlineStr">
        <is>
          <t>BulletBounceCigData</t>
        </is>
      </c>
      <c r="D424" s="7" t="inlineStr">
        <is>
          <t>displayName</t>
        </is>
      </c>
      <c r="E424" s="7" t="inlineStr">
        <is>
          <t>Primary Bullet Bounce</t>
        </is>
      </c>
    </row>
    <row r="425">
      <c r="A425" s="7" t="inlineStr">
        <is>
          <t>Assets/Prefabs/Upgrades/Reg/Primary DmgInc &amp; Bullet Bounce.asset</t>
        </is>
      </c>
      <c r="B425" s="7" t="inlineStr">
        <is>
          <t>(asset)</t>
        </is>
      </c>
      <c r="C425" s="7" t="inlineStr">
        <is>
          <t>BulletBounceCigData</t>
        </is>
      </c>
      <c r="D425" s="7" t="inlineStr">
        <is>
          <t>description</t>
        </is>
      </c>
      <c r="E425" s="7" t="inlineStr">
        <is>
          <t>Bullets Bounce</t>
        </is>
      </c>
    </row>
    <row r="426">
      <c r="A426" s="7" t="inlineStr">
        <is>
          <t>Assets/Prefabs/Upgrades/Reg/Primary DmgInc &amp; Bullet Bounce.asset</t>
        </is>
      </c>
      <c r="B426" s="7" t="inlineStr">
        <is>
          <t>(asset)</t>
        </is>
      </c>
      <c r="C426" s="7" t="inlineStr">
        <is>
          <t>BulletBounceCigData</t>
        </is>
      </c>
      <c r="D426" s="7" t="inlineStr">
        <is>
          <t>brand</t>
        </is>
      </c>
      <c r="E426" s="7" t="n">
        <v>1</v>
      </c>
    </row>
    <row r="427">
      <c r="A427" s="7" t="inlineStr">
        <is>
          <t>Assets/Prefabs/Upgrades/Reg/Primary DmgInc &amp; Bullet Bounce.asset</t>
        </is>
      </c>
      <c r="B427" s="7" t="inlineStr">
        <is>
          <t>(asset)</t>
        </is>
      </c>
      <c r="C427" s="7" t="inlineStr">
        <is>
          <t>BulletBounceCigData</t>
        </is>
      </c>
      <c r="D427" s="7" t="inlineStr">
        <is>
          <t>targetSlot</t>
        </is>
      </c>
      <c r="E427" s="7" t="n">
        <v>0</v>
      </c>
    </row>
    <row r="428">
      <c r="A428" s="7" t="inlineStr">
        <is>
          <t>Assets/Prefabs/Upgrades/Reg/Primary DmgInc &amp; Bullet Bounce.asset</t>
        </is>
      </c>
      <c r="B428" s="7" t="inlineStr">
        <is>
          <t>(asset)</t>
        </is>
      </c>
      <c r="C428" s="7" t="inlineStr">
        <is>
          <t>BulletBounceCigData</t>
        </is>
      </c>
      <c r="D428" s="7" t="inlineStr">
        <is>
          <t>hasRarity</t>
        </is>
      </c>
      <c r="E428" s="7" t="n">
        <v>1</v>
      </c>
    </row>
    <row r="429">
      <c r="A429" s="7" t="inlineStr">
        <is>
          <t>Assets/Prefabs/Upgrades/Reg/Primary DmgInc &amp; Bullet Bounce.asset</t>
        </is>
      </c>
      <c r="B429" s="7" t="inlineStr">
        <is>
          <t>(asset)</t>
        </is>
      </c>
      <c r="C429" s="7" t="inlineStr">
        <is>
          <t>BulletBounceCigData</t>
        </is>
      </c>
      <c r="D429" s="7" t="inlineStr">
        <is>
          <t>rarityConfig</t>
        </is>
      </c>
      <c r="E429" s="7" t="inlineStr">
        <is>
          <t>-&gt;Rarity Config</t>
        </is>
      </c>
    </row>
    <row r="430">
      <c r="A430" s="7" t="inlineStr">
        <is>
          <t>Assets/Prefabs/Upgrades/Reg/Primary DmgInc &amp; Bullet Bounce.asset</t>
        </is>
      </c>
      <c r="B430" s="7" t="inlineStr">
        <is>
          <t>(asset)</t>
        </is>
      </c>
      <c r="C430" s="7" t="inlineStr">
        <is>
          <t>BulletBounceCigData</t>
        </is>
      </c>
      <c r="D430" s="7" t="inlineStr">
        <is>
          <t>cost</t>
        </is>
      </c>
      <c r="E430" s="7" t="n">
        <v>10</v>
      </c>
    </row>
    <row r="431">
      <c r="A431" s="7" t="inlineStr">
        <is>
          <t>Assets/Prefabs/Upgrades/Reg/Primary DmgInc &amp; Bullet Bounce.asset</t>
        </is>
      </c>
      <c r="B431" s="7" t="inlineStr">
        <is>
          <t>(asset)</t>
        </is>
      </c>
      <c r="C431" s="7" t="inlineStr">
        <is>
          <t>BulletBounceCigData</t>
        </is>
      </c>
      <c r="D431" s="7" t="inlineStr">
        <is>
          <t>damagePerTier</t>
        </is>
      </c>
      <c r="E431" s="7" t="inlineStr">
        <is>
          <t>tier1=5; tier2=10; tier3=15; tier4=20</t>
        </is>
      </c>
    </row>
    <row r="432">
      <c r="A432" s="7" t="inlineStr">
        <is>
          <t>Assets/Prefabs/Upgrades/Reg/Primary DmgInc &amp; Bullet Bounce.asset</t>
        </is>
      </c>
      <c r="B432" s="7" t="inlineStr">
        <is>
          <t>(asset)</t>
        </is>
      </c>
      <c r="C432" s="7" t="inlineStr">
        <is>
          <t>BulletBounceCigData</t>
        </is>
      </c>
      <c r="D432" s="7" t="inlineStr">
        <is>
          <t>bouncesPerTier</t>
        </is>
      </c>
      <c r="E432" s="7" t="inlineStr">
        <is>
          <t>tier1=1; tier2=2; tier3=3; tier4=4</t>
        </is>
      </c>
    </row>
    <row r="433">
      <c r="A433" s="7" t="inlineStr">
        <is>
          <t>Assets/Prefabs/Upgrades/Reg/Secondary DmgInc &amp; Bullet Bounce.asset</t>
        </is>
      </c>
      <c r="B433" s="7" t="inlineStr">
        <is>
          <t>(asset)</t>
        </is>
      </c>
      <c r="C433" s="7" t="inlineStr">
        <is>
          <t>BulletBounceCigData</t>
        </is>
      </c>
      <c r="D433" s="7" t="inlineStr">
        <is>
          <t>id</t>
        </is>
      </c>
      <c r="E433" s="7" t="inlineStr">
        <is>
          <t>Regular-2</t>
        </is>
      </c>
    </row>
    <row r="434">
      <c r="A434" s="7" t="inlineStr">
        <is>
          <t>Assets/Prefabs/Upgrades/Reg/Secondary DmgInc &amp; Bullet Bounce.asset</t>
        </is>
      </c>
      <c r="B434" s="7" t="inlineStr">
        <is>
          <t>(asset)</t>
        </is>
      </c>
      <c r="C434" s="7" t="inlineStr">
        <is>
          <t>BulletBounceCigData</t>
        </is>
      </c>
      <c r="D434" s="7" t="inlineStr">
        <is>
          <t>displayName</t>
        </is>
      </c>
      <c r="E434" s="7" t="inlineStr">
        <is>
          <t>Secondary Bullet Bounce</t>
        </is>
      </c>
    </row>
    <row r="435">
      <c r="A435" s="7" t="inlineStr">
        <is>
          <t>Assets/Prefabs/Upgrades/Reg/Secondary DmgInc &amp; Bullet Bounce.asset</t>
        </is>
      </c>
      <c r="B435" s="7" t="inlineStr">
        <is>
          <t>(asset)</t>
        </is>
      </c>
      <c r="C435" s="7" t="inlineStr">
        <is>
          <t>BulletBounceCigData</t>
        </is>
      </c>
      <c r="D435" s="7" t="inlineStr">
        <is>
          <t>description</t>
        </is>
      </c>
      <c r="E435" s="7" t="inlineStr">
        <is>
          <t>Bullets Bounce</t>
        </is>
      </c>
    </row>
    <row r="436">
      <c r="A436" s="7" t="inlineStr">
        <is>
          <t>Assets/Prefabs/Upgrades/Reg/Secondary DmgInc &amp; Bullet Bounce.asset</t>
        </is>
      </c>
      <c r="B436" s="7" t="inlineStr">
        <is>
          <t>(asset)</t>
        </is>
      </c>
      <c r="C436" s="7" t="inlineStr">
        <is>
          <t>BulletBounceCigData</t>
        </is>
      </c>
      <c r="D436" s="7" t="inlineStr">
        <is>
          <t>brand</t>
        </is>
      </c>
      <c r="E436" s="7" t="n">
        <v>1</v>
      </c>
    </row>
    <row r="437">
      <c r="A437" s="7" t="inlineStr">
        <is>
          <t>Assets/Prefabs/Upgrades/Reg/Secondary DmgInc &amp; Bullet Bounce.asset</t>
        </is>
      </c>
      <c r="B437" s="7" t="inlineStr">
        <is>
          <t>(asset)</t>
        </is>
      </c>
      <c r="C437" s="7" t="inlineStr">
        <is>
          <t>BulletBounceCigData</t>
        </is>
      </c>
      <c r="D437" s="7" t="inlineStr">
        <is>
          <t>targetSlot</t>
        </is>
      </c>
      <c r="E437" s="7" t="n">
        <v>1</v>
      </c>
    </row>
    <row r="438">
      <c r="A438" s="7" t="inlineStr">
        <is>
          <t>Assets/Prefabs/Upgrades/Reg/Secondary DmgInc &amp; Bullet Bounce.asset</t>
        </is>
      </c>
      <c r="B438" s="7" t="inlineStr">
        <is>
          <t>(asset)</t>
        </is>
      </c>
      <c r="C438" s="7" t="inlineStr">
        <is>
          <t>BulletBounceCigData</t>
        </is>
      </c>
      <c r="D438" s="7" t="inlineStr">
        <is>
          <t>hasRarity</t>
        </is>
      </c>
      <c r="E438" s="7" t="n">
        <v>1</v>
      </c>
    </row>
    <row r="439">
      <c r="A439" s="7" t="inlineStr">
        <is>
          <t>Assets/Prefabs/Upgrades/Reg/Secondary DmgInc &amp; Bullet Bounce.asset</t>
        </is>
      </c>
      <c r="B439" s="7" t="inlineStr">
        <is>
          <t>(asset)</t>
        </is>
      </c>
      <c r="C439" s="7" t="inlineStr">
        <is>
          <t>BulletBounceCigData</t>
        </is>
      </c>
      <c r="D439" s="7" t="inlineStr">
        <is>
          <t>rarityConfig</t>
        </is>
      </c>
      <c r="E439" s="7" t="inlineStr">
        <is>
          <t>-&gt;Rarity Config</t>
        </is>
      </c>
    </row>
    <row r="440">
      <c r="A440" s="7" t="inlineStr">
        <is>
          <t>Assets/Prefabs/Upgrades/Reg/Secondary DmgInc &amp; Bullet Bounce.asset</t>
        </is>
      </c>
      <c r="B440" s="7" t="inlineStr">
        <is>
          <t>(asset)</t>
        </is>
      </c>
      <c r="C440" s="7" t="inlineStr">
        <is>
          <t>BulletBounceCigData</t>
        </is>
      </c>
      <c r="D440" s="7" t="inlineStr">
        <is>
          <t>cost</t>
        </is>
      </c>
      <c r="E440" s="7" t="n">
        <v>10</v>
      </c>
    </row>
    <row r="441">
      <c r="A441" s="7" t="inlineStr">
        <is>
          <t>Assets/Prefabs/Upgrades/Reg/Secondary DmgInc &amp; Bullet Bounce.asset</t>
        </is>
      </c>
      <c r="B441" s="7" t="inlineStr">
        <is>
          <t>(asset)</t>
        </is>
      </c>
      <c r="C441" s="7" t="inlineStr">
        <is>
          <t>BulletBounceCigData</t>
        </is>
      </c>
      <c r="D441" s="7" t="inlineStr">
        <is>
          <t>damagePerTier</t>
        </is>
      </c>
      <c r="E441" s="7" t="inlineStr">
        <is>
          <t>tier1=5; tier2=10; tier3=15; tier4=20</t>
        </is>
      </c>
    </row>
    <row r="442">
      <c r="A442" s="7" t="inlineStr">
        <is>
          <t>Assets/Prefabs/Upgrades/Reg/Secondary DmgInc &amp; Bullet Bounce.asset</t>
        </is>
      </c>
      <c r="B442" s="7" t="inlineStr">
        <is>
          <t>(asset)</t>
        </is>
      </c>
      <c r="C442" s="7" t="inlineStr">
        <is>
          <t>BulletBounceCigData</t>
        </is>
      </c>
      <c r="D442" s="7" t="inlineStr">
        <is>
          <t>bouncesPerTier</t>
        </is>
      </c>
      <c r="E442" s="7" t="inlineStr">
        <is>
          <t>tier1=1; tier2=2; tier3=3; tier4=4</t>
        </is>
      </c>
    </row>
    <row r="443">
      <c r="A443" s="7" t="inlineStr">
        <is>
          <t>Assets/Prefabs/Upgrades/Reg/Stomp Circle.asset</t>
        </is>
      </c>
      <c r="B443" s="7" t="inlineStr">
        <is>
          <t>(asset)</t>
        </is>
      </c>
      <c r="C443" s="7" t="inlineStr">
        <is>
          <t>StompCircleCigData</t>
        </is>
      </c>
      <c r="D443" s="7" t="inlineStr">
        <is>
          <t>id</t>
        </is>
      </c>
      <c r="E443" s="7" t="inlineStr">
        <is>
          <t>Regular-3</t>
        </is>
      </c>
    </row>
    <row r="444">
      <c r="A444" s="7" t="inlineStr">
        <is>
          <t>Assets/Prefabs/Upgrades/Reg/Stomp Circle.asset</t>
        </is>
      </c>
      <c r="B444" s="7" t="inlineStr">
        <is>
          <t>(asset)</t>
        </is>
      </c>
      <c r="C444" s="7" t="inlineStr">
        <is>
          <t>StompCircleCigData</t>
        </is>
      </c>
      <c r="D444" s="7" t="inlineStr">
        <is>
          <t>displayName</t>
        </is>
      </c>
      <c r="E444" s="7" t="inlineStr">
        <is>
          <t>Stomp Circle</t>
        </is>
      </c>
    </row>
    <row r="445">
      <c r="A445" s="7" t="inlineStr">
        <is>
          <t>Assets/Prefabs/Upgrades/Reg/Stomp Circle.asset</t>
        </is>
      </c>
      <c r="B445" s="7" t="inlineStr">
        <is>
          <t>(asset)</t>
        </is>
      </c>
      <c r="C445" s="7" t="inlineStr">
        <is>
          <t>StompCircleCigData</t>
        </is>
      </c>
      <c r="D445" s="7" t="inlineStr">
        <is>
          <t>description</t>
        </is>
      </c>
      <c r="E445" s="7" t="inlineStr">
        <is>
          <t xml:space="preserve">Inc the radius
</t>
        </is>
      </c>
    </row>
    <row r="446">
      <c r="A446" s="7" t="inlineStr">
        <is>
          <t>Assets/Prefabs/Upgrades/Reg/Stomp Circle.asset</t>
        </is>
      </c>
      <c r="B446" s="7" t="inlineStr">
        <is>
          <t>(asset)</t>
        </is>
      </c>
      <c r="C446" s="7" t="inlineStr">
        <is>
          <t>StompCircleCigData</t>
        </is>
      </c>
      <c r="D446" s="7" t="inlineStr">
        <is>
          <t>brand</t>
        </is>
      </c>
      <c r="E446" s="7" t="n">
        <v>1</v>
      </c>
    </row>
    <row r="447">
      <c r="A447" s="7" t="inlineStr">
        <is>
          <t>Assets/Prefabs/Upgrades/Reg/Stomp Circle.asset</t>
        </is>
      </c>
      <c r="B447" s="7" t="inlineStr">
        <is>
          <t>(asset)</t>
        </is>
      </c>
      <c r="C447" s="7" t="inlineStr">
        <is>
          <t>StompCircleCigData</t>
        </is>
      </c>
      <c r="D447" s="7" t="inlineStr">
        <is>
          <t>targetSlot</t>
        </is>
      </c>
      <c r="E447" s="7" t="n">
        <v>2</v>
      </c>
    </row>
    <row r="448">
      <c r="A448" s="7" t="inlineStr">
        <is>
          <t>Assets/Prefabs/Upgrades/Reg/Stomp Circle.asset</t>
        </is>
      </c>
      <c r="B448" s="7" t="inlineStr">
        <is>
          <t>(asset)</t>
        </is>
      </c>
      <c r="C448" s="7" t="inlineStr">
        <is>
          <t>StompCircleCigData</t>
        </is>
      </c>
      <c r="D448" s="7" t="inlineStr">
        <is>
          <t>hasRarity</t>
        </is>
      </c>
      <c r="E448" s="7" t="n">
        <v>1</v>
      </c>
    </row>
    <row r="449">
      <c r="A449" s="7" t="inlineStr">
        <is>
          <t>Assets/Prefabs/Upgrades/Reg/Stomp Circle.asset</t>
        </is>
      </c>
      <c r="B449" s="7" t="inlineStr">
        <is>
          <t>(asset)</t>
        </is>
      </c>
      <c r="C449" s="7" t="inlineStr">
        <is>
          <t>StompCircleCigData</t>
        </is>
      </c>
      <c r="D449" s="7" t="inlineStr">
        <is>
          <t>rarityConfig</t>
        </is>
      </c>
      <c r="E449" s="7" t="inlineStr">
        <is>
          <t>-&gt;Rarity Config</t>
        </is>
      </c>
    </row>
    <row r="450">
      <c r="A450" s="7" t="inlineStr">
        <is>
          <t>Assets/Prefabs/Upgrades/Reg/Stomp Circle.asset</t>
        </is>
      </c>
      <c r="B450" s="7" t="inlineStr">
        <is>
          <t>(asset)</t>
        </is>
      </c>
      <c r="C450" s="7" t="inlineStr">
        <is>
          <t>StompCircleCigData</t>
        </is>
      </c>
      <c r="D450" s="7" t="inlineStr">
        <is>
          <t>cost</t>
        </is>
      </c>
      <c r="E450" s="7" t="n">
        <v>10</v>
      </c>
    </row>
    <row r="451">
      <c r="A451" s="7" t="inlineStr">
        <is>
          <t>Assets/Prefabs/Upgrades/Reg/Stomp Circle.asset</t>
        </is>
      </c>
      <c r="B451" s="7" t="inlineStr">
        <is>
          <t>(asset)</t>
        </is>
      </c>
      <c r="C451" s="7" t="inlineStr">
        <is>
          <t>StompCircleCigData</t>
        </is>
      </c>
      <c r="D451" s="7" t="inlineStr">
        <is>
          <t>damagePerTier</t>
        </is>
      </c>
      <c r="E451" s="7" t="inlineStr">
        <is>
          <t>tier1=2; tier2=5; tier3=9; tier4=14</t>
        </is>
      </c>
    </row>
    <row r="452">
      <c r="A452" s="7" t="inlineStr">
        <is>
          <t>Assets/Prefabs/Upgrades/Reg/Stomp Circle.asset</t>
        </is>
      </c>
      <c r="B452" s="7" t="inlineStr">
        <is>
          <t>(asset)</t>
        </is>
      </c>
      <c r="C452" s="7" t="inlineStr">
        <is>
          <t>StompCircleCigData</t>
        </is>
      </c>
      <c r="D452" s="7" t="inlineStr">
        <is>
          <t>bulletCountPerTier</t>
        </is>
      </c>
      <c r="E452" s="7" t="inlineStr">
        <is>
          <t>tier1=4; tier2=6; tier3=8; tier4=10</t>
        </is>
      </c>
    </row>
    <row r="453">
      <c r="A453" s="7" t="inlineStr">
        <is>
          <t>Assets/Scenes/Boot.unity</t>
        </is>
      </c>
      <c r="B453" s="7" t="inlineStr">
        <is>
          <t>GameManager</t>
        </is>
      </c>
      <c r="C453" s="7" t="inlineStr">
        <is>
          <t>GameManager</t>
        </is>
      </c>
      <c r="D453" s="7" t="inlineStr">
        <is>
          <t>mainMenuScene</t>
        </is>
      </c>
      <c r="E453" s="7" t="inlineStr">
        <is>
          <t>Main menu</t>
        </is>
      </c>
    </row>
    <row r="454">
      <c r="A454" s="7" t="inlineStr">
        <is>
          <t>Assets/Scenes/Boot.unity</t>
        </is>
      </c>
      <c r="B454" s="7" t="inlineStr">
        <is>
          <t>GameManager</t>
        </is>
      </c>
      <c r="C454" s="7" t="inlineStr">
        <is>
          <t>GameManager</t>
        </is>
      </c>
      <c r="D454" s="7" t="inlineStr">
        <is>
          <t>gameScene</t>
        </is>
      </c>
      <c r="E454" s="7" t="inlineStr">
        <is>
          <t>RoguelikeMode</t>
        </is>
      </c>
    </row>
    <row r="455">
      <c r="A455" s="7" t="inlineStr">
        <is>
          <t>Assets/Scenes/Boot.unity</t>
        </is>
      </c>
      <c r="B455" s="7" t="inlineStr">
        <is>
          <t>GameManager</t>
        </is>
      </c>
      <c r="C455" s="7" t="inlineStr">
        <is>
          <t>GameManager</t>
        </is>
      </c>
      <c r="D455" s="7" t="inlineStr">
        <is>
          <t>bossScene</t>
        </is>
      </c>
      <c r="E455" s="7" t="inlineStr">
        <is>
          <t>BossArena</t>
        </is>
      </c>
    </row>
    <row r="456">
      <c r="A456" s="7" t="inlineStr">
        <is>
          <t>Assets/Scenes/Boot.unity</t>
        </is>
      </c>
      <c r="B456" s="7" t="inlineStr">
        <is>
          <t>GameManager</t>
        </is>
      </c>
      <c r="C456" s="7" t="inlineStr">
        <is>
          <t>GameManager</t>
        </is>
      </c>
      <c r="D456" s="7" t="inlineStr">
        <is>
          <t>defaultBoss</t>
        </is>
      </c>
      <c r="E456" s="7" t="inlineStr">
        <is>
          <t>-&gt;BossDefinition_01</t>
        </is>
      </c>
    </row>
    <row r="457">
      <c r="A457" s="7" t="inlineStr">
        <is>
          <t>Assets/Scenes/BossArena.unity</t>
        </is>
      </c>
      <c r="B457" s="7" t="inlineStr">
        <is>
          <t>__BossSceneManager__</t>
        </is>
      </c>
      <c r="C457" s="7" t="inlineStr">
        <is>
          <t>BossSceneManager</t>
        </is>
      </c>
      <c r="D457" s="7" t="inlineStr">
        <is>
          <t>bossDefinition</t>
        </is>
      </c>
      <c r="E457" s="7" t="inlineStr">
        <is>
          <t>-&gt;BossDefinition_01</t>
        </is>
      </c>
    </row>
    <row r="458">
      <c r="A458" s="7" t="inlineStr">
        <is>
          <t>Assets/Scenes/BossArena.unity</t>
        </is>
      </c>
      <c r="B458" s="7" t="inlineStr">
        <is>
          <t>PlayerSpawner</t>
        </is>
      </c>
      <c r="C458" s="7" t="inlineStr">
        <is>
          <t>PlayerSpawner</t>
        </is>
      </c>
      <c r="D458" s="7" t="inlineStr">
        <is>
          <t>playerPrefab</t>
        </is>
      </c>
      <c r="E458" s="7" t="inlineStr">
        <is>
          <t>-&gt;Temp -Player</t>
        </is>
      </c>
    </row>
    <row r="459">
      <c r="A459" s="7" t="inlineStr">
        <is>
          <t>Assets/Scenes/BossArena.unity</t>
        </is>
      </c>
      <c r="B459" s="7" t="inlineStr">
        <is>
          <t>Coin Manager</t>
        </is>
      </c>
      <c r="C459" s="7" t="inlineStr">
        <is>
          <t>CoinManager</t>
        </is>
      </c>
      <c r="D459" s="7" t="inlineStr">
        <is>
          <t>startingCoins</t>
        </is>
      </c>
      <c r="E459" s="7" t="n">
        <v>50</v>
      </c>
    </row>
    <row r="460">
      <c r="A460" s="7" t="inlineStr">
        <is>
          <t>Assets/Scenes/BossArena.unity</t>
        </is>
      </c>
      <c r="B460" s="7" t="inlineStr">
        <is>
          <t>Coin Manager</t>
        </is>
      </c>
      <c r="C460" s="7" t="inlineStr">
        <is>
          <t>CoinManager</t>
        </is>
      </c>
      <c r="D460" s="7" t="inlineStr">
        <is>
          <t>startingMaxCoins</t>
        </is>
      </c>
      <c r="E460" s="7" t="n">
        <v>200</v>
      </c>
    </row>
    <row r="461">
      <c r="A461" s="7" t="inlineStr">
        <is>
          <t>Assets/Scenes/BossArena.unity</t>
        </is>
      </c>
      <c r="B461" s="7" t="inlineStr">
        <is>
          <t>Enemy Kill Tracker</t>
        </is>
      </c>
      <c r="C461" s="7" t="inlineStr">
        <is>
          <t>EnemyKillTracker</t>
        </is>
      </c>
      <c r="D461" s="7" t="inlineStr">
        <is>
          <t>killsThisRun</t>
        </is>
      </c>
      <c r="E461" s="7" t="n">
        <v>0</v>
      </c>
    </row>
    <row r="462">
      <c r="A462" s="7" t="inlineStr">
        <is>
          <t>Assets/Scenes/BossArena.unity</t>
        </is>
      </c>
      <c r="B462" s="7" t="inlineStr">
        <is>
          <t>BulletPool</t>
        </is>
      </c>
      <c r="C462" s="7" t="inlineStr">
        <is>
          <t>BulletPool</t>
        </is>
      </c>
      <c r="D462" s="7" t="inlineStr">
        <is>
          <t>bulletPrefab</t>
        </is>
      </c>
      <c r="E462" s="7" t="inlineStr">
        <is>
          <t>-&gt;Boss_Bullet</t>
        </is>
      </c>
    </row>
    <row r="463">
      <c r="A463" s="7" t="inlineStr">
        <is>
          <t>Assets/Scenes/BossArena.unity</t>
        </is>
      </c>
      <c r="B463" s="7" t="inlineStr">
        <is>
          <t>BulletPool</t>
        </is>
      </c>
      <c r="C463" s="7" t="inlineStr">
        <is>
          <t>BulletPool</t>
        </is>
      </c>
      <c r="D463" s="7" t="inlineStr">
        <is>
          <t>initialPoolSize</t>
        </is>
      </c>
      <c r="E463" s="7" t="n">
        <v>100</v>
      </c>
    </row>
    <row r="464">
      <c r="A464" s="7" t="inlineStr">
        <is>
          <t>Assets/Scenes/BossArena.unity</t>
        </is>
      </c>
      <c r="B464" s="7" t="inlineStr">
        <is>
          <t>BulletPool</t>
        </is>
      </c>
      <c r="C464" s="7" t="inlineStr">
        <is>
          <t>BulletPool</t>
        </is>
      </c>
      <c r="D464" s="7" t="inlineStr">
        <is>
          <t>maxPoolSize</t>
        </is>
      </c>
      <c r="E464" s="7" t="n">
        <v>300</v>
      </c>
    </row>
    <row r="465">
      <c r="A465" s="7" t="inlineStr">
        <is>
          <t>Assets/Scenes/BossArena.unity</t>
        </is>
      </c>
      <c r="B465" s="7" t="inlineStr">
        <is>
          <t>Dungeon Generator</t>
        </is>
      </c>
      <c r="C465" s="7" t="inlineStr">
        <is>
          <t>DungeonMapGenerator</t>
        </is>
      </c>
      <c r="D465" s="7" t="inlineStr">
        <is>
          <t>mapParametersSO</t>
        </is>
      </c>
      <c r="E465" s="7" t="inlineStr">
        <is>
          <t>-&gt;Mapparametersso</t>
        </is>
      </c>
    </row>
    <row r="466">
      <c r="A466" s="7" t="inlineStr">
        <is>
          <t>Assets/Scenes/BossArena.unity</t>
        </is>
      </c>
      <c r="B466" s="7" t="inlineStr">
        <is>
          <t>Dungeon Generator</t>
        </is>
      </c>
      <c r="C466" s="7" t="inlineStr">
        <is>
          <t>DungeonMapGenerator</t>
        </is>
      </c>
      <c r="D466" s="7" t="inlineStr">
        <is>
          <t>showRoomIds</t>
        </is>
      </c>
      <c r="E466" s="7" t="n">
        <v>1</v>
      </c>
    </row>
    <row r="467">
      <c r="A467" s="7" t="inlineStr">
        <is>
          <t>Assets/Scenes/BossArena.unity</t>
        </is>
      </c>
      <c r="B467" s="7" t="inlineStr">
        <is>
          <t>Dungeon Generator</t>
        </is>
      </c>
      <c r="C467" s="7" t="inlineStr">
        <is>
          <t>DungeonMapGenerator</t>
        </is>
      </c>
      <c r="D467" s="7" t="inlineStr">
        <is>
          <t>foliageSpawnChance</t>
        </is>
      </c>
      <c r="E467" s="7" t="n">
        <v>0.2</v>
      </c>
    </row>
    <row r="468">
      <c r="A468" s="7" t="inlineStr">
        <is>
          <t>Assets/Scenes/BossArena.unity</t>
        </is>
      </c>
      <c r="B468" s="7" t="inlineStr">
        <is>
          <t>Dungeon Generator</t>
        </is>
      </c>
      <c r="C468" s="7" t="inlineStr">
        <is>
          <t>DungeonMapGenerator</t>
        </is>
      </c>
      <c r="D468" s="7" t="inlineStr">
        <is>
          <t>spawnFoliageInRooms</t>
        </is>
      </c>
      <c r="E468" s="7" t="n">
        <v>0</v>
      </c>
    </row>
    <row r="469">
      <c r="A469" s="7" t="inlineStr">
        <is>
          <t>Assets/Scenes/BossArena.unity</t>
        </is>
      </c>
      <c r="B469" s="7" t="inlineStr">
        <is>
          <t>Dungeon Generator</t>
        </is>
      </c>
      <c r="C469" s="7" t="inlineStr">
        <is>
          <t>DungeonMapGenerator</t>
        </is>
      </c>
      <c r="D469" s="7" t="inlineStr">
        <is>
          <t>spawnFoliageInCorridors</t>
        </is>
      </c>
      <c r="E469" s="7" t="n">
        <v>0</v>
      </c>
    </row>
    <row r="470">
      <c r="A470" s="7" t="inlineStr">
        <is>
          <t>Assets/Scenes/BossArena.unity</t>
        </is>
      </c>
      <c r="B470" s="7" t="inlineStr">
        <is>
          <t>Dungeon Generator</t>
        </is>
      </c>
      <c r="C470" s="7" t="inlineStr">
        <is>
          <t>DungeonMapGenerator</t>
        </is>
      </c>
      <c r="D470" s="7" t="inlineStr">
        <is>
          <t>teleporterPrefab</t>
        </is>
      </c>
      <c r="E470" s="7" t="inlineStr">
        <is>
          <t>-&gt;Teleporter</t>
        </is>
      </c>
    </row>
    <row r="471">
      <c r="A471" s="7" t="inlineStr">
        <is>
          <t>Assets/Scenes/BossArena.unity</t>
        </is>
      </c>
      <c r="B471" s="7" t="inlineStr">
        <is>
          <t>Dungeon Generator</t>
        </is>
      </c>
      <c r="C471" s="7" t="inlineStr">
        <is>
          <t>DungeonMapGenerator</t>
        </is>
      </c>
      <c r="D471" s="7" t="inlineStr">
        <is>
          <t>enemySpawnerPrefab</t>
        </is>
      </c>
      <c r="E471" s="7" t="inlineStr">
        <is>
          <t>-&gt;Enemy Spawner</t>
        </is>
      </c>
    </row>
    <row r="472">
      <c r="A472" s="7" t="inlineStr">
        <is>
          <t>Assets/Scenes/BossArena.unity</t>
        </is>
      </c>
      <c r="B472" s="7" t="inlineStr">
        <is>
          <t>Dungeon Generator</t>
        </is>
      </c>
      <c r="C472" s="7" t="inlineStr">
        <is>
          <t>DungeonMapGenerator</t>
        </is>
      </c>
      <c r="D472" s="7" t="inlineStr">
        <is>
          <t>spawnEnemySpawnersInMainRooms</t>
        </is>
      </c>
      <c r="E472" s="7" t="n">
        <v>1</v>
      </c>
    </row>
    <row r="473">
      <c r="A473" s="7" t="inlineStr">
        <is>
          <t>Assets/Scenes/BossArena.unity</t>
        </is>
      </c>
      <c r="B473" s="7" t="inlineStr">
        <is>
          <t>Dungeon Generator</t>
        </is>
      </c>
      <c r="C473" s="7" t="inlineStr">
        <is>
          <t>DungeonMapGenerator</t>
        </is>
      </c>
      <c r="D473" s="7" t="inlineStr">
        <is>
          <t>spawnerOffsetFromCenter</t>
        </is>
      </c>
      <c r="E473" s="7" t="n">
        <v>0</v>
      </c>
    </row>
    <row r="474">
      <c r="A474" s="7" t="inlineStr">
        <is>
          <t>Assets/Scenes/BossArena.unity</t>
        </is>
      </c>
      <c r="B474" s="7" t="inlineStr">
        <is>
          <t>Dungeon Generator</t>
        </is>
      </c>
      <c r="C474" s="7" t="inlineStr">
        <is>
          <t>DungeonMapGenerator</t>
        </is>
      </c>
      <c r="D474" s="7" t="inlineStr">
        <is>
          <t>minDistanceBetweenSpawners</t>
        </is>
      </c>
      <c r="E474" s="7" t="n">
        <v>5</v>
      </c>
    </row>
    <row r="475">
      <c r="A475" s="7" t="inlineStr">
        <is>
          <t>Assets/Scenes/BossArena.unity</t>
        </is>
      </c>
      <c r="B475" s="7" t="inlineStr">
        <is>
          <t>Dungeon Generator</t>
        </is>
      </c>
      <c r="C475" s="7" t="inlineStr">
        <is>
          <t>DungeonMapGenerator</t>
        </is>
      </c>
      <c r="D475" s="7" t="inlineStr">
        <is>
          <t>enableSpawnerRespawn</t>
        </is>
      </c>
      <c r="E475" s="7" t="n">
        <v>0</v>
      </c>
    </row>
    <row r="476">
      <c r="A476" s="7" t="inlineStr">
        <is>
          <t>Assets/Scenes/BossArena.unity</t>
        </is>
      </c>
      <c r="B476" s="7" t="inlineStr">
        <is>
          <t>Dungeon Generator</t>
        </is>
      </c>
      <c r="C476" s="7" t="inlineStr">
        <is>
          <t>DungeonMapGenerator</t>
        </is>
      </c>
      <c r="D476" s="7" t="inlineStr">
        <is>
          <t>keyPrefab</t>
        </is>
      </c>
      <c r="E476" s="7" t="inlineStr">
        <is>
          <t>-&gt;Key</t>
        </is>
      </c>
    </row>
    <row r="477">
      <c r="A477" s="7" t="inlineStr">
        <is>
          <t>Assets/Scenes/BossArena.unity</t>
        </is>
      </c>
      <c r="B477" s="7" t="inlineStr">
        <is>
          <t>Dungeon Generator</t>
        </is>
      </c>
      <c r="C477" s="7" t="inlineStr">
        <is>
          <t>DungeonMapGenerator</t>
        </is>
      </c>
      <c r="D477" s="7" t="inlineStr">
        <is>
          <t>hasKeyBeenSpawned</t>
        </is>
      </c>
      <c r="E477" s="7" t="n">
        <v>0</v>
      </c>
    </row>
    <row r="478">
      <c r="A478" s="7" t="inlineStr">
        <is>
          <t>Assets/Scenes/BossArena.unity</t>
        </is>
      </c>
      <c r="B478" s="7" t="inlineStr">
        <is>
          <t>Dungeon Generator</t>
        </is>
      </c>
      <c r="C478" s="7" t="inlineStr">
        <is>
          <t>DungeonMapGenerator</t>
        </is>
      </c>
      <c r="D478" s="7" t="inlineStr">
        <is>
          <t>shouldKeyBeSpawned</t>
        </is>
      </c>
      <c r="E478" s="7" t="n">
        <v>0</v>
      </c>
    </row>
    <row r="479">
      <c r="A479" s="7" t="inlineStr">
        <is>
          <t>Assets/Scenes/BossArena.unity</t>
        </is>
      </c>
      <c r="B479" s="7" t="inlineStr">
        <is>
          <t>Dungeon Generator</t>
        </is>
      </c>
      <c r="C479" s="7" t="inlineStr">
        <is>
          <t>DungeonMapGenerator</t>
        </is>
      </c>
      <c r="D479" s="7" t="inlineStr">
        <is>
          <t>relicPrefabs</t>
        </is>
      </c>
      <c r="E479" s="7" t="inlineStr">
        <is>
          <t>-&gt;Relic 1, -&gt;Relic 2, -&gt;Relic 3, -&gt;Relic 4, -&gt;Relic 5, -&gt;Relic 6, -&gt;Relic 7, -&gt;Relic 8</t>
        </is>
      </c>
    </row>
    <row r="480">
      <c r="A480" s="7" t="inlineStr">
        <is>
          <t>Assets/Scenes/BossArena.unity</t>
        </is>
      </c>
      <c r="B480" s="7" t="inlineStr">
        <is>
          <t>Dungeon Generator</t>
        </is>
      </c>
      <c r="C480" s="7" t="inlineStr">
        <is>
          <t>DungeonMapGenerator</t>
        </is>
      </c>
      <c r="D480" s="7" t="inlineStr">
        <is>
          <t>roomsPerRelicType</t>
        </is>
      </c>
      <c r="E480" s="7" t="n">
        <v>1</v>
      </c>
    </row>
    <row r="481">
      <c r="A481" s="7" t="inlineStr">
        <is>
          <t>Assets/Scenes/BossArena.unity</t>
        </is>
      </c>
      <c r="B481" s="7" t="inlineStr">
        <is>
          <t>Dungeon Generator</t>
        </is>
      </c>
      <c r="C481" s="7" t="inlineStr">
        <is>
          <t>DungeonMapGenerator</t>
        </is>
      </c>
      <c r="D481" s="7" t="inlineStr">
        <is>
          <t>relicSpawnChance</t>
        </is>
      </c>
      <c r="E481" s="7" t="n">
        <v>0.25</v>
      </c>
    </row>
    <row r="482">
      <c r="A482" s="7" t="inlineStr">
        <is>
          <t>Assets/Scenes/BossArena.unity</t>
        </is>
      </c>
      <c r="B482" s="7" t="inlineStr">
        <is>
          <t>Dungeon Generator</t>
        </is>
      </c>
      <c r="C482" s="7" t="inlineStr">
        <is>
          <t>DungeonMapGenerator</t>
        </is>
      </c>
      <c r="D482" s="7" t="inlineStr">
        <is>
          <t>relicSpawnHeight</t>
        </is>
      </c>
      <c r="E482" s="7" t="n">
        <v>0</v>
      </c>
    </row>
    <row r="483">
      <c r="A483" s="7" t="inlineStr">
        <is>
          <t>Assets/Scenes/BossArena.unity</t>
        </is>
      </c>
      <c r="B483" s="7" t="inlineStr">
        <is>
          <t>Dungeon Generator</t>
        </is>
      </c>
      <c r="C483" s="7" t="inlineStr">
        <is>
          <t>DungeonMapGenerator</t>
        </is>
      </c>
      <c r="D483" s="7" t="inlineStr">
        <is>
          <t>generateOnStart</t>
        </is>
      </c>
      <c r="E483" s="7" t="n">
        <v>0</v>
      </c>
    </row>
    <row r="484">
      <c r="A484" s="7" t="inlineStr">
        <is>
          <t>Assets/Scenes/RoguelikeMode.unity</t>
        </is>
      </c>
      <c r="B484" s="7" t="inlineStr">
        <is>
          <t>Coin Manager</t>
        </is>
      </c>
      <c r="C484" s="7" t="inlineStr">
        <is>
          <t>CoinManager</t>
        </is>
      </c>
      <c r="D484" s="7" t="inlineStr">
        <is>
          <t>startingCoins</t>
        </is>
      </c>
      <c r="E484" s="7" t="n">
        <v>50</v>
      </c>
    </row>
    <row r="485">
      <c r="A485" s="7" t="inlineStr">
        <is>
          <t>Assets/Scenes/RoguelikeMode.unity</t>
        </is>
      </c>
      <c r="B485" s="7" t="inlineStr">
        <is>
          <t>Coin Manager</t>
        </is>
      </c>
      <c r="C485" s="7" t="inlineStr">
        <is>
          <t>CoinManager</t>
        </is>
      </c>
      <c r="D485" s="7" t="inlineStr">
        <is>
          <t>startingMaxCoins</t>
        </is>
      </c>
      <c r="E485" s="7" t="n">
        <v>200</v>
      </c>
    </row>
    <row r="486">
      <c r="A486" s="7" t="inlineStr">
        <is>
          <t>Assets/Scenes/RoguelikeMode.unity</t>
        </is>
      </c>
      <c r="B486" s="7" t="inlineStr">
        <is>
          <t>Bullet pool</t>
        </is>
      </c>
      <c r="C486" s="7" t="inlineStr">
        <is>
          <t>BulletPool</t>
        </is>
      </c>
      <c r="D486" s="7" t="inlineStr">
        <is>
          <t>bulletPrefab</t>
        </is>
      </c>
      <c r="E486" s="7" t="inlineStr">
        <is>
          <t>-&gt;Boss_Bullet</t>
        </is>
      </c>
    </row>
    <row r="487">
      <c r="A487" s="7" t="inlineStr">
        <is>
          <t>Assets/Scenes/RoguelikeMode.unity</t>
        </is>
      </c>
      <c r="B487" s="7" t="inlineStr">
        <is>
          <t>Bullet pool</t>
        </is>
      </c>
      <c r="C487" s="7" t="inlineStr">
        <is>
          <t>BulletPool</t>
        </is>
      </c>
      <c r="D487" s="7" t="inlineStr">
        <is>
          <t>initialPoolSize</t>
        </is>
      </c>
      <c r="E487" s="7" t="n">
        <v>100</v>
      </c>
    </row>
    <row r="488">
      <c r="A488" s="7" t="inlineStr">
        <is>
          <t>Assets/Scenes/RoguelikeMode.unity</t>
        </is>
      </c>
      <c r="B488" s="7" t="inlineStr">
        <is>
          <t>Bullet pool</t>
        </is>
      </c>
      <c r="C488" s="7" t="inlineStr">
        <is>
          <t>BulletPool</t>
        </is>
      </c>
      <c r="D488" s="7" t="inlineStr">
        <is>
          <t>maxPoolSize</t>
        </is>
      </c>
      <c r="E488" s="7" t="n">
        <v>300</v>
      </c>
    </row>
    <row r="489">
      <c r="A489" s="7" t="inlineStr">
        <is>
          <t>Assets/Scenes/RoguelikeMode.unity</t>
        </is>
      </c>
      <c r="B489" s="7" t="inlineStr">
        <is>
          <t>Roguelike Manager</t>
        </is>
      </c>
      <c r="C489" s="7" t="inlineStr">
        <is>
          <t>RoguelikeManager</t>
        </is>
      </c>
      <c r="D489" s="7" t="inlineStr">
        <is>
          <t>roomsTillBoss</t>
        </is>
      </c>
      <c r="E489" s="7" t="n">
        <v>3</v>
      </c>
    </row>
    <row r="490">
      <c r="A490" s="7" t="inlineStr">
        <is>
          <t>Assets/Scenes/RoguelikeMode.unity</t>
        </is>
      </c>
      <c r="B490" s="7" t="inlineStr">
        <is>
          <t>Roguelike Manager</t>
        </is>
      </c>
      <c r="C490" s="7" t="inlineStr">
        <is>
          <t>RoguelikeManager</t>
        </is>
      </c>
      <c r="D490" s="7" t="inlineStr">
        <is>
          <t>bossSceneName</t>
        </is>
      </c>
      <c r="E490" s="7" t="inlineStr">
        <is>
          <t>BossLevel</t>
        </is>
      </c>
    </row>
    <row r="491">
      <c r="A491" s="7" t="inlineStr">
        <is>
          <t>Assets/Scenes/RoguelikeMode.unity</t>
        </is>
      </c>
      <c r="B491" s="7" t="inlineStr">
        <is>
          <t>Roguelike Manager</t>
        </is>
      </c>
      <c r="C491" s="7" t="inlineStr">
        <is>
          <t>RoguelikeManager</t>
        </is>
      </c>
      <c r="D491" s="7" t="inlineStr">
        <is>
          <t>roguelikeScene2Name</t>
        </is>
      </c>
      <c r="E491" s="7" t="inlineStr">
        <is>
          <t>RoguelikeModeEmpty</t>
        </is>
      </c>
    </row>
    <row r="492">
      <c r="A492" s="7" t="inlineStr">
        <is>
          <t>Assets/Scenes/RoguelikeMode.unity</t>
        </is>
      </c>
      <c r="B492" s="7" t="inlineStr">
        <is>
          <t>Roguelike Manager</t>
        </is>
      </c>
      <c r="C492" s="7" t="inlineStr">
        <is>
          <t>RoguelikeManager</t>
        </is>
      </c>
      <c r="D492" s="7" t="inlineStr">
        <is>
          <t>dungeonTimerEnabled</t>
        </is>
      </c>
      <c r="E492" s="7" t="n">
        <v>1</v>
      </c>
    </row>
    <row r="493">
      <c r="A493" s="7" t="inlineStr">
        <is>
          <t>Assets/Scenes/RoguelikeMode.unity</t>
        </is>
      </c>
      <c r="B493" s="7" t="inlineStr">
        <is>
          <t>Roguelike Manager</t>
        </is>
      </c>
      <c r="C493" s="7" t="inlineStr">
        <is>
          <t>RoguelikeManager</t>
        </is>
      </c>
      <c r="D493" s="7" t="inlineStr">
        <is>
          <t>dungeonTimeLimit</t>
        </is>
      </c>
      <c r="E493" s="7" t="n">
        <v>120</v>
      </c>
    </row>
    <row r="494">
      <c r="A494" s="7" t="inlineStr">
        <is>
          <t>Assets/Scenes/RoguelikeMode.unity</t>
        </is>
      </c>
      <c r="B494" s="7" t="inlineStr">
        <is>
          <t>Roguelike Manager</t>
        </is>
      </c>
      <c r="C494" s="7" t="inlineStr">
        <is>
          <t>RoguelikeManager</t>
        </is>
      </c>
      <c r="D494" s="7" t="inlineStr">
        <is>
          <t>dungeonTimerWarningThreshold</t>
        </is>
      </c>
      <c r="E494" s="7" t="n">
        <v>15</v>
      </c>
    </row>
    <row r="495">
      <c r="A495" s="7" t="inlineStr">
        <is>
          <t>Assets/Scenes/RoguelikeMode.unity</t>
        </is>
      </c>
      <c r="B495" s="7" t="inlineStr">
        <is>
          <t>Dungeon Generator</t>
        </is>
      </c>
      <c r="C495" s="7" t="inlineStr">
        <is>
          <t>DungeonMapGenerator</t>
        </is>
      </c>
      <c r="D495" s="7" t="inlineStr">
        <is>
          <t>mapParametersSO</t>
        </is>
      </c>
      <c r="E495" s="7" t="inlineStr">
        <is>
          <t>-&gt;Mapparametersso</t>
        </is>
      </c>
    </row>
    <row r="496">
      <c r="A496" s="7" t="inlineStr">
        <is>
          <t>Assets/Scenes/RoguelikeMode.unity</t>
        </is>
      </c>
      <c r="B496" s="7" t="inlineStr">
        <is>
          <t>Dungeon Generator</t>
        </is>
      </c>
      <c r="C496" s="7" t="inlineStr">
        <is>
          <t>DungeonMapGenerator</t>
        </is>
      </c>
      <c r="D496" s="7" t="inlineStr">
        <is>
          <t>showRoomIds</t>
        </is>
      </c>
      <c r="E496" s="7" t="n">
        <v>1</v>
      </c>
    </row>
    <row r="497">
      <c r="A497" s="7" t="inlineStr">
        <is>
          <t>Assets/Scenes/RoguelikeMode.unity</t>
        </is>
      </c>
      <c r="B497" s="7" t="inlineStr">
        <is>
          <t>Dungeon Generator</t>
        </is>
      </c>
      <c r="C497" s="7" t="inlineStr">
        <is>
          <t>DungeonMapGenerator</t>
        </is>
      </c>
      <c r="D497" s="7" t="inlineStr">
        <is>
          <t>foliageSpawnChance</t>
        </is>
      </c>
      <c r="E497" s="7" t="n">
        <v>0.12</v>
      </c>
    </row>
    <row r="498">
      <c r="A498" s="7" t="inlineStr">
        <is>
          <t>Assets/Scenes/RoguelikeMode.unity</t>
        </is>
      </c>
      <c r="B498" s="7" t="inlineStr">
        <is>
          <t>Dungeon Generator</t>
        </is>
      </c>
      <c r="C498" s="7" t="inlineStr">
        <is>
          <t>DungeonMapGenerator</t>
        </is>
      </c>
      <c r="D498" s="7" t="inlineStr">
        <is>
          <t>spawnFoliageInRooms</t>
        </is>
      </c>
      <c r="E498" s="7" t="n">
        <v>0</v>
      </c>
    </row>
    <row r="499">
      <c r="A499" s="7" t="inlineStr">
        <is>
          <t>Assets/Scenes/RoguelikeMode.unity</t>
        </is>
      </c>
      <c r="B499" s="7" t="inlineStr">
        <is>
          <t>Dungeon Generator</t>
        </is>
      </c>
      <c r="C499" s="7" t="inlineStr">
        <is>
          <t>DungeonMapGenerator</t>
        </is>
      </c>
      <c r="D499" s="7" t="inlineStr">
        <is>
          <t>spawnFoliageInCorridors</t>
        </is>
      </c>
      <c r="E499" s="7" t="n">
        <v>0</v>
      </c>
    </row>
    <row r="500">
      <c r="A500" s="7" t="inlineStr">
        <is>
          <t>Assets/Scenes/RoguelikeMode.unity</t>
        </is>
      </c>
      <c r="B500" s="7" t="inlineStr">
        <is>
          <t>Dungeon Generator</t>
        </is>
      </c>
      <c r="C500" s="7" t="inlineStr">
        <is>
          <t>DungeonMapGenerator</t>
        </is>
      </c>
      <c r="D500" s="7" t="inlineStr">
        <is>
          <t>teleporterPrefab</t>
        </is>
      </c>
      <c r="E500" s="7" t="inlineStr">
        <is>
          <t>-&gt;Teleporter</t>
        </is>
      </c>
    </row>
    <row r="501">
      <c r="A501" s="7" t="inlineStr">
        <is>
          <t>Assets/Scenes/RoguelikeMode.unity</t>
        </is>
      </c>
      <c r="B501" s="7" t="inlineStr">
        <is>
          <t>Dungeon Generator</t>
        </is>
      </c>
      <c r="C501" s="7" t="inlineStr">
        <is>
          <t>DungeonMapGenerator</t>
        </is>
      </c>
      <c r="D501" s="7" t="inlineStr">
        <is>
          <t>enemySpawnerPrefab</t>
        </is>
      </c>
      <c r="E501" s="7" t="inlineStr">
        <is>
          <t>-&gt;Enemy Spawner</t>
        </is>
      </c>
    </row>
    <row r="502">
      <c r="A502" s="7" t="inlineStr">
        <is>
          <t>Assets/Scenes/RoguelikeMode.unity</t>
        </is>
      </c>
      <c r="B502" s="7" t="inlineStr">
        <is>
          <t>Dungeon Generator</t>
        </is>
      </c>
      <c r="C502" s="7" t="inlineStr">
        <is>
          <t>DungeonMapGenerator</t>
        </is>
      </c>
      <c r="D502" s="7" t="inlineStr">
        <is>
          <t>spawnEnemySpawnersInMainRooms</t>
        </is>
      </c>
      <c r="E502" s="7" t="n">
        <v>1</v>
      </c>
    </row>
    <row r="503">
      <c r="A503" s="7" t="inlineStr">
        <is>
          <t>Assets/Scenes/RoguelikeMode.unity</t>
        </is>
      </c>
      <c r="B503" s="7" t="inlineStr">
        <is>
          <t>Dungeon Generator</t>
        </is>
      </c>
      <c r="C503" s="7" t="inlineStr">
        <is>
          <t>DungeonMapGenerator</t>
        </is>
      </c>
      <c r="D503" s="7" t="inlineStr">
        <is>
          <t>spawnerOffsetFromCenter</t>
        </is>
      </c>
      <c r="E503" s="7" t="n">
        <v>0</v>
      </c>
    </row>
    <row r="504">
      <c r="A504" s="7" t="inlineStr">
        <is>
          <t>Assets/Scenes/RoguelikeMode.unity</t>
        </is>
      </c>
      <c r="B504" s="7" t="inlineStr">
        <is>
          <t>Dungeon Generator</t>
        </is>
      </c>
      <c r="C504" s="7" t="inlineStr">
        <is>
          <t>DungeonMapGenerator</t>
        </is>
      </c>
      <c r="D504" s="7" t="inlineStr">
        <is>
          <t>minDistanceBetweenSpawners</t>
        </is>
      </c>
      <c r="E504" s="7" t="n">
        <v>5</v>
      </c>
    </row>
    <row r="505">
      <c r="A505" s="7" t="inlineStr">
        <is>
          <t>Assets/Scenes/RoguelikeMode.unity</t>
        </is>
      </c>
      <c r="B505" s="7" t="inlineStr">
        <is>
          <t>Dungeon Generator</t>
        </is>
      </c>
      <c r="C505" s="7" t="inlineStr">
        <is>
          <t>DungeonMapGenerator</t>
        </is>
      </c>
      <c r="D505" s="7" t="inlineStr">
        <is>
          <t>enableSpawnerRespawn</t>
        </is>
      </c>
      <c r="E505" s="7" t="n">
        <v>0</v>
      </c>
    </row>
    <row r="506">
      <c r="A506" s="7" t="inlineStr">
        <is>
          <t>Assets/Scenes/RoguelikeMode.unity</t>
        </is>
      </c>
      <c r="B506" s="7" t="inlineStr">
        <is>
          <t>Dungeon Generator</t>
        </is>
      </c>
      <c r="C506" s="7" t="inlineStr">
        <is>
          <t>DungeonMapGenerator</t>
        </is>
      </c>
      <c r="D506" s="7" t="inlineStr">
        <is>
          <t>keyPrefab</t>
        </is>
      </c>
      <c r="E506" s="7" t="inlineStr">
        <is>
          <t>-&gt;Key</t>
        </is>
      </c>
    </row>
    <row r="507">
      <c r="A507" s="7" t="inlineStr">
        <is>
          <t>Assets/Scenes/RoguelikeMode.unity</t>
        </is>
      </c>
      <c r="B507" s="7" t="inlineStr">
        <is>
          <t>Dungeon Generator</t>
        </is>
      </c>
      <c r="C507" s="7" t="inlineStr">
        <is>
          <t>DungeonMapGenerator</t>
        </is>
      </c>
      <c r="D507" s="7" t="inlineStr">
        <is>
          <t>hasKeyBeenSpawned</t>
        </is>
      </c>
      <c r="E507" s="7" t="n">
        <v>0</v>
      </c>
    </row>
    <row r="508">
      <c r="A508" s="7" t="inlineStr">
        <is>
          <t>Assets/Scenes/RoguelikeMode.unity</t>
        </is>
      </c>
      <c r="B508" s="7" t="inlineStr">
        <is>
          <t>Dungeon Generator</t>
        </is>
      </c>
      <c r="C508" s="7" t="inlineStr">
        <is>
          <t>DungeonMapGenerator</t>
        </is>
      </c>
      <c r="D508" s="7" t="inlineStr">
        <is>
          <t>shouldKeyBeSpawned</t>
        </is>
      </c>
      <c r="E508" s="7" t="n">
        <v>0</v>
      </c>
    </row>
    <row r="509">
      <c r="A509" s="7" t="inlineStr">
        <is>
          <t>Assets/Scenes/RoguelikeMode.unity</t>
        </is>
      </c>
      <c r="B509" s="7" t="inlineStr">
        <is>
          <t>Dungeon Generator</t>
        </is>
      </c>
      <c r="C509" s="7" t="inlineStr">
        <is>
          <t>DungeonMapGenerator</t>
        </is>
      </c>
      <c r="D509" s="7" t="inlineStr">
        <is>
          <t>relicPrefabs</t>
        </is>
      </c>
      <c r="E509" s="7" t="inlineStr">
        <is>
          <t>-&gt;Relic 1</t>
        </is>
      </c>
    </row>
    <row r="510">
      <c r="A510" s="7" t="inlineStr">
        <is>
          <t>Assets/Scenes/RoguelikeMode.unity</t>
        </is>
      </c>
      <c r="B510" s="7" t="inlineStr">
        <is>
          <t>Dungeon Generator</t>
        </is>
      </c>
      <c r="C510" s="7" t="inlineStr">
        <is>
          <t>DungeonMapGenerator</t>
        </is>
      </c>
      <c r="D510" s="7" t="inlineStr">
        <is>
          <t>roomsPerRelicType</t>
        </is>
      </c>
      <c r="E510" s="7" t="n">
        <v>1</v>
      </c>
    </row>
    <row r="511">
      <c r="A511" s="7" t="inlineStr">
        <is>
          <t>Assets/Scenes/RoguelikeMode.unity</t>
        </is>
      </c>
      <c r="B511" s="7" t="inlineStr">
        <is>
          <t>Dungeon Generator</t>
        </is>
      </c>
      <c r="C511" s="7" t="inlineStr">
        <is>
          <t>DungeonMapGenerator</t>
        </is>
      </c>
      <c r="D511" s="7" t="inlineStr">
        <is>
          <t>relicSpawnChance</t>
        </is>
      </c>
      <c r="E511" s="7" t="n">
        <v>0.25</v>
      </c>
    </row>
    <row r="512">
      <c r="A512" s="7" t="inlineStr">
        <is>
          <t>Assets/Scenes/RoguelikeMode.unity</t>
        </is>
      </c>
      <c r="B512" s="7" t="inlineStr">
        <is>
          <t>Dungeon Generator</t>
        </is>
      </c>
      <c r="C512" s="7" t="inlineStr">
        <is>
          <t>DungeonMapGenerator</t>
        </is>
      </c>
      <c r="D512" s="7" t="inlineStr">
        <is>
          <t>relicSpawnHeight</t>
        </is>
      </c>
      <c r="E512" s="7" t="n">
        <v>0</v>
      </c>
    </row>
    <row r="513">
      <c r="A513" s="7" t="inlineStr">
        <is>
          <t>Assets/Scenes/RoguelikeMode.unity</t>
        </is>
      </c>
      <c r="B513" s="7" t="inlineStr">
        <is>
          <t>Dungeon Generator</t>
        </is>
      </c>
      <c r="C513" s="7" t="inlineStr">
        <is>
          <t>DungeonMapGenerator</t>
        </is>
      </c>
      <c r="D513" s="7" t="inlineStr">
        <is>
          <t>generateOnStart</t>
        </is>
      </c>
      <c r="E513" s="7" t="n">
        <v>0</v>
      </c>
    </row>
    <row r="514">
      <c r="A514" s="7" t="inlineStr">
        <is>
          <t>Assets/Scenes/RoguelikeMode.unity</t>
        </is>
      </c>
      <c r="B514" s="7" t="inlineStr">
        <is>
          <t>Enemy Kill Tracker</t>
        </is>
      </c>
      <c r="C514" s="7" t="inlineStr">
        <is>
          <t>EnemyKillTracker</t>
        </is>
      </c>
      <c r="D514" s="7" t="inlineStr">
        <is>
          <t>killsThisRun</t>
        </is>
      </c>
      <c r="E514" s="7" t="n">
        <v>0</v>
      </c>
    </row>
    <row r="515">
      <c r="A515" s="7" t="inlineStr">
        <is>
          <t>Assets/Scripts/Dungeon Generator/Mapparametersso 1.asset</t>
        </is>
      </c>
      <c r="B515" s="7" t="inlineStr">
        <is>
          <t>(asset)</t>
        </is>
      </c>
      <c r="C515" s="7" t="inlineStr">
        <is>
          <t>Mapparametersso</t>
        </is>
      </c>
      <c r="D515" s="7" t="inlineStr">
        <is>
          <t>nodeCount</t>
        </is>
      </c>
      <c r="E515" s="7" t="n">
        <v>7</v>
      </c>
    </row>
    <row r="516">
      <c r="A516" s="7" t="inlineStr">
        <is>
          <t>Assets/Scripts/Dungeon Generator/Mapparametersso 1.asset</t>
        </is>
      </c>
      <c r="B516" s="7" t="inlineStr">
        <is>
          <t>(asset)</t>
        </is>
      </c>
      <c r="C516" s="7" t="inlineStr">
        <is>
          <t>Mapparametersso</t>
        </is>
      </c>
      <c r="D516" s="7" t="inlineStr">
        <is>
          <t>mainRoomSpacing</t>
        </is>
      </c>
      <c r="E516" s="7" t="n">
        <v>6</v>
      </c>
    </row>
    <row r="517">
      <c r="A517" s="7" t="inlineStr">
        <is>
          <t>Assets/Scripts/Dungeon Generator/Mapparametersso 1.asset</t>
        </is>
      </c>
      <c r="B517" s="7" t="inlineStr">
        <is>
          <t>(asset)</t>
        </is>
      </c>
      <c r="C517" s="7" t="inlineStr">
        <is>
          <t>Mapparametersso</t>
        </is>
      </c>
      <c r="D517" s="7" t="inlineStr">
        <is>
          <t>chanceForLTurn</t>
        </is>
      </c>
      <c r="E517" s="7" t="n">
        <v>1</v>
      </c>
    </row>
    <row r="518">
      <c r="A518" s="7" t="inlineStr">
        <is>
          <t>Assets/Scripts/Dungeon Generator/Mapparametersso 1.asset</t>
        </is>
      </c>
      <c r="B518" s="7" t="inlineStr">
        <is>
          <t>(asset)</t>
        </is>
      </c>
      <c r="C518" s="7" t="inlineStr">
        <is>
          <t>Mapparametersso</t>
        </is>
      </c>
      <c r="D518" s="7" t="inlineStr">
        <is>
          <t>mainArteryPositionJitter</t>
        </is>
      </c>
      <c r="E518" s="7" t="n">
        <v>2</v>
      </c>
    </row>
    <row r="519">
      <c r="A519" s="7" t="inlineStr">
        <is>
          <t>Assets/Scripts/Dungeon Generator/Mapparametersso 1.asset</t>
        </is>
      </c>
      <c r="B519" s="7" t="inlineStr">
        <is>
          <t>(asset)</t>
        </is>
      </c>
      <c r="C519" s="7" t="inlineStr">
        <is>
          <t>Mapparametersso</t>
        </is>
      </c>
      <c r="D519" s="7" t="inlineStr">
        <is>
          <t>distributiveNodeChancePerSegment</t>
        </is>
      </c>
      <c r="E519" s="7" t="n">
        <v>0.858</v>
      </c>
    </row>
    <row r="520">
      <c r="A520" s="7" t="inlineStr">
        <is>
          <t>Assets/Scripts/Dungeon Generator/Mapparametersso 1.asset</t>
        </is>
      </c>
      <c r="B520" s="7" t="inlineStr">
        <is>
          <t>(asset)</t>
        </is>
      </c>
      <c r="C520" s="7" t="inlineStr">
        <is>
          <t>Mapparametersso</t>
        </is>
      </c>
      <c r="D520" s="7" t="inlineStr">
        <is>
          <t>minLeafNodesPerDistributive</t>
        </is>
      </c>
      <c r="E520" s="7" t="n">
        <v>1</v>
      </c>
    </row>
    <row r="521">
      <c r="A521" s="7" t="inlineStr">
        <is>
          <t>Assets/Scripts/Dungeon Generator/Mapparametersso 1.asset</t>
        </is>
      </c>
      <c r="B521" s="7" t="inlineStr">
        <is>
          <t>(asset)</t>
        </is>
      </c>
      <c r="C521" s="7" t="inlineStr">
        <is>
          <t>Mapparametersso</t>
        </is>
      </c>
      <c r="D521" s="7" t="inlineStr">
        <is>
          <t>maxLeafNodesPerDistributive</t>
        </is>
      </c>
      <c r="E521" s="7" t="n">
        <v>3</v>
      </c>
    </row>
    <row r="522">
      <c r="A522" s="7" t="inlineStr">
        <is>
          <t>Assets/Scripts/Dungeon Generator/Mapparametersso 1.asset</t>
        </is>
      </c>
      <c r="B522" s="7" t="inlineStr">
        <is>
          <t>(asset)</t>
        </is>
      </c>
      <c r="C522" s="7" t="inlineStr">
        <is>
          <t>Mapparametersso</t>
        </is>
      </c>
      <c r="D522" s="7" t="inlineStr">
        <is>
          <t>leafBranchLength</t>
        </is>
      </c>
      <c r="E522" s="7" t="n">
        <v>6</v>
      </c>
    </row>
    <row r="523">
      <c r="A523" s="7" t="inlineStr">
        <is>
          <t>Assets/Scripts/Dungeon Generator/Mapparametersso 1.asset</t>
        </is>
      </c>
      <c r="B523" s="7" t="inlineStr">
        <is>
          <t>(asset)</t>
        </is>
      </c>
      <c r="C523" s="7" t="inlineStr">
        <is>
          <t>Mapparametersso</t>
        </is>
      </c>
      <c r="D523" s="7" t="inlineStr">
        <is>
          <t>leafNodePositionJitter</t>
        </is>
      </c>
      <c r="E523" s="7" t="n">
        <v>1.5</v>
      </c>
    </row>
    <row r="524">
      <c r="A524" s="7" t="inlineStr">
        <is>
          <t>Assets/Scripts/Dungeon Generator/Mapparametersso 1.asset</t>
        </is>
      </c>
      <c r="B524" s="7" t="inlineStr">
        <is>
          <t>(asset)</t>
        </is>
      </c>
      <c r="C524" s="7" t="inlineStr">
        <is>
          <t>Mapparametersso</t>
        </is>
      </c>
      <c r="D524" s="7" t="inlineStr">
        <is>
          <t>baseStartRoomSize</t>
        </is>
      </c>
      <c r="E524" s="7" t="inlineStr">
        <is>
          <t>(3, 3)</t>
        </is>
      </c>
    </row>
    <row r="525">
      <c r="A525" s="7" t="inlineStr">
        <is>
          <t>Assets/Scripts/Dungeon Generator/Mapparametersso 1.asset</t>
        </is>
      </c>
      <c r="B525" s="7" t="inlineStr">
        <is>
          <t>(asset)</t>
        </is>
      </c>
      <c r="C525" s="7" t="inlineStr">
        <is>
          <t>Mapparametersso</t>
        </is>
      </c>
      <c r="D525" s="7" t="inlineStr">
        <is>
          <t>baseEndRoomSize</t>
        </is>
      </c>
      <c r="E525" s="7" t="inlineStr">
        <is>
          <t>(8, 8)</t>
        </is>
      </c>
    </row>
    <row r="526">
      <c r="A526" s="7" t="inlineStr">
        <is>
          <t>Assets/Scripts/Dungeon Generator/Mapparametersso 1.asset</t>
        </is>
      </c>
      <c r="B526" s="7" t="inlineStr">
        <is>
          <t>(asset)</t>
        </is>
      </c>
      <c r="C526" s="7" t="inlineStr">
        <is>
          <t>Mapparametersso</t>
        </is>
      </c>
      <c r="D526" s="7" t="inlineStr">
        <is>
          <t>baseMainArteryRoomSize</t>
        </is>
      </c>
      <c r="E526" s="7" t="inlineStr">
        <is>
          <t>(7, 7)</t>
        </is>
      </c>
    </row>
    <row r="527">
      <c r="A527" s="7" t="inlineStr">
        <is>
          <t>Assets/Scripts/Dungeon Generator/Mapparametersso 1.asset</t>
        </is>
      </c>
      <c r="B527" s="7" t="inlineStr">
        <is>
          <t>(asset)</t>
        </is>
      </c>
      <c r="C527" s="7" t="inlineStr">
        <is>
          <t>Mapparametersso</t>
        </is>
      </c>
      <c r="D527" s="7" t="inlineStr">
        <is>
          <t>baseDistributiveRoomSize</t>
        </is>
      </c>
      <c r="E527" s="7" t="inlineStr">
        <is>
          <t>(5, 5)</t>
        </is>
      </c>
    </row>
    <row r="528">
      <c r="A528" s="7" t="inlineStr">
        <is>
          <t>Assets/Scripts/Dungeon Generator/Mapparametersso 1.asset</t>
        </is>
      </c>
      <c r="B528" s="7" t="inlineStr">
        <is>
          <t>(asset)</t>
        </is>
      </c>
      <c r="C528" s="7" t="inlineStr">
        <is>
          <t>Mapparametersso</t>
        </is>
      </c>
      <c r="D528" s="7" t="inlineStr">
        <is>
          <t>baseLeafRoomSize</t>
        </is>
      </c>
      <c r="E528" s="7" t="inlineStr">
        <is>
          <t>(5, 5)</t>
        </is>
      </c>
    </row>
    <row r="529">
      <c r="A529" s="7" t="inlineStr">
        <is>
          <t>Assets/Scripts/Dungeon Generator/Mapparametersso 1.asset</t>
        </is>
      </c>
      <c r="B529" s="7" t="inlineStr">
        <is>
          <t>(asset)</t>
        </is>
      </c>
      <c r="C529" s="7" t="inlineStr">
        <is>
          <t>Mapparametersso</t>
        </is>
      </c>
      <c r="D529" s="7" t="inlineStr">
        <is>
          <t>baseCornerRoomSize</t>
        </is>
      </c>
      <c r="E529" s="7" t="inlineStr">
        <is>
          <t>(4, 4)</t>
        </is>
      </c>
    </row>
    <row r="530">
      <c r="A530" s="7" t="inlineStr">
        <is>
          <t>Assets/Scripts/Dungeon Generator/Mapparametersso 1.asset</t>
        </is>
      </c>
      <c r="B530" s="7" t="inlineStr">
        <is>
          <t>(asset)</t>
        </is>
      </c>
      <c r="C530" s="7" t="inlineStr">
        <is>
          <t>Mapparametersso</t>
        </is>
      </c>
      <c r="D530" s="7" t="inlineStr">
        <is>
          <t>roomSizeVariationPercentage</t>
        </is>
      </c>
      <c r="E530" s="7" t="n">
        <v>0.8120000000000001</v>
      </c>
    </row>
    <row r="531">
      <c r="A531" s="7" t="inlineStr">
        <is>
          <t>Assets/Scripts/Dungeon Generator/Mapparametersso 1.asset</t>
        </is>
      </c>
      <c r="B531" s="7" t="inlineStr">
        <is>
          <t>(asset)</t>
        </is>
      </c>
      <c r="C531" s="7" t="inlineStr">
        <is>
          <t>Mapparametersso</t>
        </is>
      </c>
      <c r="D531" s="7" t="inlineStr">
        <is>
          <t>minRoomDistance</t>
        </is>
      </c>
      <c r="E531" s="7" t="n">
        <v>1</v>
      </c>
    </row>
    <row r="532">
      <c r="A532" s="7" t="inlineStr">
        <is>
          <t>Assets/Scripts/Dungeon Generator/Mapparametersso 1.asset</t>
        </is>
      </c>
      <c r="B532" s="7" t="inlineStr">
        <is>
          <t>(asset)</t>
        </is>
      </c>
      <c r="C532" s="7" t="inlineStr">
        <is>
          <t>Mapparametersso</t>
        </is>
      </c>
      <c r="D532" s="7" t="inlineStr">
        <is>
          <t>maxRepositionAttempts</t>
        </is>
      </c>
      <c r="E532" s="7" t="n">
        <v>30</v>
      </c>
    </row>
    <row r="533">
      <c r="A533" s="7" t="inlineStr">
        <is>
          <t>Assets/Scripts/Dungeon Generator/Mapparametersso 1.asset</t>
        </is>
      </c>
      <c r="B533" s="7" t="inlineStr">
        <is>
          <t>(asset)</t>
        </is>
      </c>
      <c r="C533" s="7" t="inlineStr">
        <is>
          <t>Mapparametersso</t>
        </is>
      </c>
      <c r="D533" s="7" t="inlineStr">
        <is>
          <t>repositionSearchRadius</t>
        </is>
      </c>
      <c r="E533" s="7" t="n">
        <v>5</v>
      </c>
    </row>
    <row r="534">
      <c r="A534" s="7" t="inlineStr">
        <is>
          <t>Assets/Scripts/Dungeon Generator/Mapparametersso 1.asset</t>
        </is>
      </c>
      <c r="B534" s="7" t="inlineStr">
        <is>
          <t>(asset)</t>
        </is>
      </c>
      <c r="C534" s="7" t="inlineStr">
        <is>
          <t>Mapparametersso</t>
        </is>
      </c>
      <c r="D534" s="7" t="inlineStr">
        <is>
          <t>startRoomToArteryDistance</t>
        </is>
      </c>
      <c r="E534" s="7" t="n">
        <v>12</v>
      </c>
    </row>
    <row r="535">
      <c r="A535" s="7" t="inlineStr">
        <is>
          <t>Assets/Scripts/Dungeon Generator/Mapparametersso 1.asset</t>
        </is>
      </c>
      <c r="B535" s="7" t="inlineStr">
        <is>
          <t>(asset)</t>
        </is>
      </c>
      <c r="C535" s="7" t="inlineStr">
        <is>
          <t>Mapparametersso</t>
        </is>
      </c>
      <c r="D535" s="7" t="inlineStr">
        <is>
          <t>minStartToEndDistance</t>
        </is>
      </c>
      <c r="E535" s="7" t="n">
        <v>40</v>
      </c>
    </row>
    <row r="536">
      <c r="A536" s="7" t="inlineStr">
        <is>
          <t>Assets/Scripts/Dungeon Generator/Mapparametersso 1.asset</t>
        </is>
      </c>
      <c r="B536" s="7" t="inlineStr">
        <is>
          <t>(asset)</t>
        </is>
      </c>
      <c r="C536" s="7" t="inlineStr">
        <is>
          <t>Mapparametersso</t>
        </is>
      </c>
      <c r="D536" s="7" t="inlineStr">
        <is>
          <t>roomRotationChance</t>
        </is>
      </c>
      <c r="E536" s="7" t="n">
        <v>1</v>
      </c>
    </row>
    <row r="537">
      <c r="A537" s="7" t="inlineStr">
        <is>
          <t>Assets/Scripts/Dungeon Generator/Mapparametersso 1.asset</t>
        </is>
      </c>
      <c r="B537" s="7" t="inlineStr">
        <is>
          <t>(asset)</t>
        </is>
      </c>
      <c r="C537" s="7" t="inlineStr">
        <is>
          <t>Mapparametersso</t>
        </is>
      </c>
      <c r="D537" s="7" t="inlineStr">
        <is>
          <t>corridorWidth</t>
        </is>
      </c>
      <c r="E537" s="7" t="n">
        <v>6</v>
      </c>
    </row>
    <row r="538">
      <c r="A538" s="7" t="inlineStr">
        <is>
          <t>Assets/Scripts/Dungeon Generator/Mapparametersso Big.asset</t>
        </is>
      </c>
      <c r="B538" s="7" t="inlineStr">
        <is>
          <t>(asset)</t>
        </is>
      </c>
      <c r="C538" s="7" t="inlineStr">
        <is>
          <t>Mapparametersso</t>
        </is>
      </c>
      <c r="D538" s="7" t="inlineStr">
        <is>
          <t>nodeCount</t>
        </is>
      </c>
      <c r="E538" s="7" t="n">
        <v>7</v>
      </c>
    </row>
    <row r="539">
      <c r="A539" s="7" t="inlineStr">
        <is>
          <t>Assets/Scripts/Dungeon Generator/Mapparametersso Big.asset</t>
        </is>
      </c>
      <c r="B539" s="7" t="inlineStr">
        <is>
          <t>(asset)</t>
        </is>
      </c>
      <c r="C539" s="7" t="inlineStr">
        <is>
          <t>Mapparametersso</t>
        </is>
      </c>
      <c r="D539" s="7" t="inlineStr">
        <is>
          <t>mainRoomSpacing</t>
        </is>
      </c>
      <c r="E539" s="7" t="n">
        <v>6</v>
      </c>
    </row>
    <row r="540">
      <c r="A540" s="7" t="inlineStr">
        <is>
          <t>Assets/Scripts/Dungeon Generator/Mapparametersso Big.asset</t>
        </is>
      </c>
      <c r="B540" s="7" t="inlineStr">
        <is>
          <t>(asset)</t>
        </is>
      </c>
      <c r="C540" s="7" t="inlineStr">
        <is>
          <t>Mapparametersso</t>
        </is>
      </c>
      <c r="D540" s="7" t="inlineStr">
        <is>
          <t>chanceForLTurn</t>
        </is>
      </c>
      <c r="E540" s="7" t="n">
        <v>0.3</v>
      </c>
    </row>
    <row r="541">
      <c r="A541" s="7" t="inlineStr">
        <is>
          <t>Assets/Scripts/Dungeon Generator/Mapparametersso Big.asset</t>
        </is>
      </c>
      <c r="B541" s="7" t="inlineStr">
        <is>
          <t>(asset)</t>
        </is>
      </c>
      <c r="C541" s="7" t="inlineStr">
        <is>
          <t>Mapparametersso</t>
        </is>
      </c>
      <c r="D541" s="7" t="inlineStr">
        <is>
          <t>mainArteryPositionJitter</t>
        </is>
      </c>
      <c r="E541" s="7" t="n">
        <v>2</v>
      </c>
    </row>
    <row r="542">
      <c r="A542" s="7" t="inlineStr">
        <is>
          <t>Assets/Scripts/Dungeon Generator/Mapparametersso Big.asset</t>
        </is>
      </c>
      <c r="B542" s="7" t="inlineStr">
        <is>
          <t>(asset)</t>
        </is>
      </c>
      <c r="C542" s="7" t="inlineStr">
        <is>
          <t>Mapparametersso</t>
        </is>
      </c>
      <c r="D542" s="7" t="inlineStr">
        <is>
          <t>distributiveNodeChancePerSegment</t>
        </is>
      </c>
      <c r="E542" s="7" t="n">
        <v>0.858</v>
      </c>
    </row>
    <row r="543">
      <c r="A543" s="7" t="inlineStr">
        <is>
          <t>Assets/Scripts/Dungeon Generator/Mapparametersso Big.asset</t>
        </is>
      </c>
      <c r="B543" s="7" t="inlineStr">
        <is>
          <t>(asset)</t>
        </is>
      </c>
      <c r="C543" s="7" t="inlineStr">
        <is>
          <t>Mapparametersso</t>
        </is>
      </c>
      <c r="D543" s="7" t="inlineStr">
        <is>
          <t>minLeafNodesPerDistributive</t>
        </is>
      </c>
      <c r="E543" s="7" t="n">
        <v>1</v>
      </c>
    </row>
    <row r="544">
      <c r="A544" s="7" t="inlineStr">
        <is>
          <t>Assets/Scripts/Dungeon Generator/Mapparametersso Big.asset</t>
        </is>
      </c>
      <c r="B544" s="7" t="inlineStr">
        <is>
          <t>(asset)</t>
        </is>
      </c>
      <c r="C544" s="7" t="inlineStr">
        <is>
          <t>Mapparametersso</t>
        </is>
      </c>
      <c r="D544" s="7" t="inlineStr">
        <is>
          <t>maxLeafNodesPerDistributive</t>
        </is>
      </c>
      <c r="E544" s="7" t="n">
        <v>3</v>
      </c>
    </row>
    <row r="545">
      <c r="A545" s="7" t="inlineStr">
        <is>
          <t>Assets/Scripts/Dungeon Generator/Mapparametersso Big.asset</t>
        </is>
      </c>
      <c r="B545" s="7" t="inlineStr">
        <is>
          <t>(asset)</t>
        </is>
      </c>
      <c r="C545" s="7" t="inlineStr">
        <is>
          <t>Mapparametersso</t>
        </is>
      </c>
      <c r="D545" s="7" t="inlineStr">
        <is>
          <t>leafBranchLength</t>
        </is>
      </c>
      <c r="E545" s="7" t="n">
        <v>6</v>
      </c>
    </row>
    <row r="546">
      <c r="A546" s="7" t="inlineStr">
        <is>
          <t>Assets/Scripts/Dungeon Generator/Mapparametersso Big.asset</t>
        </is>
      </c>
      <c r="B546" s="7" t="inlineStr">
        <is>
          <t>(asset)</t>
        </is>
      </c>
      <c r="C546" s="7" t="inlineStr">
        <is>
          <t>Mapparametersso</t>
        </is>
      </c>
      <c r="D546" s="7" t="inlineStr">
        <is>
          <t>leafNodePositionJitter</t>
        </is>
      </c>
      <c r="E546" s="7" t="n">
        <v>1.5</v>
      </c>
    </row>
    <row r="547">
      <c r="A547" s="7" t="inlineStr">
        <is>
          <t>Assets/Scripts/Dungeon Generator/Mapparametersso Big.asset</t>
        </is>
      </c>
      <c r="B547" s="7" t="inlineStr">
        <is>
          <t>(asset)</t>
        </is>
      </c>
      <c r="C547" s="7" t="inlineStr">
        <is>
          <t>Mapparametersso</t>
        </is>
      </c>
      <c r="D547" s="7" t="inlineStr">
        <is>
          <t>baseStartRoomSize</t>
        </is>
      </c>
      <c r="E547" s="7" t="inlineStr">
        <is>
          <t>(8, 8)</t>
        </is>
      </c>
    </row>
    <row r="548">
      <c r="A548" s="7" t="inlineStr">
        <is>
          <t>Assets/Scripts/Dungeon Generator/Mapparametersso Big.asset</t>
        </is>
      </c>
      <c r="B548" s="7" t="inlineStr">
        <is>
          <t>(asset)</t>
        </is>
      </c>
      <c r="C548" s="7" t="inlineStr">
        <is>
          <t>Mapparametersso</t>
        </is>
      </c>
      <c r="D548" s="7" t="inlineStr">
        <is>
          <t>baseEndRoomSize</t>
        </is>
      </c>
      <c r="E548" s="7" t="inlineStr">
        <is>
          <t>(10, 10)</t>
        </is>
      </c>
    </row>
    <row r="549">
      <c r="A549" s="7" t="inlineStr">
        <is>
          <t>Assets/Scripts/Dungeon Generator/Mapparametersso Big.asset</t>
        </is>
      </c>
      <c r="B549" s="7" t="inlineStr">
        <is>
          <t>(asset)</t>
        </is>
      </c>
      <c r="C549" s="7" t="inlineStr">
        <is>
          <t>Mapparametersso</t>
        </is>
      </c>
      <c r="D549" s="7" t="inlineStr">
        <is>
          <t>baseMainArteryRoomSize</t>
        </is>
      </c>
      <c r="E549" s="7" t="inlineStr">
        <is>
          <t>(8, 8)</t>
        </is>
      </c>
    </row>
    <row r="550">
      <c r="A550" s="7" t="inlineStr">
        <is>
          <t>Assets/Scripts/Dungeon Generator/Mapparametersso Big.asset</t>
        </is>
      </c>
      <c r="B550" s="7" t="inlineStr">
        <is>
          <t>(asset)</t>
        </is>
      </c>
      <c r="C550" s="7" t="inlineStr">
        <is>
          <t>Mapparametersso</t>
        </is>
      </c>
      <c r="D550" s="7" t="inlineStr">
        <is>
          <t>baseDistributiveRoomSize</t>
        </is>
      </c>
      <c r="E550" s="7" t="inlineStr">
        <is>
          <t>(8, 8)</t>
        </is>
      </c>
    </row>
    <row r="551">
      <c r="A551" s="7" t="inlineStr">
        <is>
          <t>Assets/Scripts/Dungeon Generator/Mapparametersso Big.asset</t>
        </is>
      </c>
      <c r="B551" s="7" t="inlineStr">
        <is>
          <t>(asset)</t>
        </is>
      </c>
      <c r="C551" s="7" t="inlineStr">
        <is>
          <t>Mapparametersso</t>
        </is>
      </c>
      <c r="D551" s="7" t="inlineStr">
        <is>
          <t>baseLeafRoomSize</t>
        </is>
      </c>
      <c r="E551" s="7" t="inlineStr">
        <is>
          <t>(7, 7)</t>
        </is>
      </c>
    </row>
    <row r="552">
      <c r="A552" s="7" t="inlineStr">
        <is>
          <t>Assets/Scripts/Dungeon Generator/Mapparametersso Big.asset</t>
        </is>
      </c>
      <c r="B552" s="7" t="inlineStr">
        <is>
          <t>(asset)</t>
        </is>
      </c>
      <c r="C552" s="7" t="inlineStr">
        <is>
          <t>Mapparametersso</t>
        </is>
      </c>
      <c r="D552" s="7" t="inlineStr">
        <is>
          <t>baseCornerRoomSize</t>
        </is>
      </c>
      <c r="E552" s="7" t="inlineStr">
        <is>
          <t>(6, 6)</t>
        </is>
      </c>
    </row>
    <row r="553">
      <c r="A553" s="7" t="inlineStr">
        <is>
          <t>Assets/Scripts/Dungeon Generator/Mapparametersso Big.asset</t>
        </is>
      </c>
      <c r="B553" s="7" t="inlineStr">
        <is>
          <t>(asset)</t>
        </is>
      </c>
      <c r="C553" s="7" t="inlineStr">
        <is>
          <t>Mapparametersso</t>
        </is>
      </c>
      <c r="D553" s="7" t="inlineStr">
        <is>
          <t>roomSizeVariationPercentage</t>
        </is>
      </c>
      <c r="E553" s="7" t="n">
        <v>0.331</v>
      </c>
    </row>
    <row r="554">
      <c r="A554" s="7" t="inlineStr">
        <is>
          <t>Assets/Scripts/Dungeon Generator/Mapparametersso Big.asset</t>
        </is>
      </c>
      <c r="B554" s="7" t="inlineStr">
        <is>
          <t>(asset)</t>
        </is>
      </c>
      <c r="C554" s="7" t="inlineStr">
        <is>
          <t>Mapparametersso</t>
        </is>
      </c>
      <c r="D554" s="7" t="inlineStr">
        <is>
          <t>minRoomDistance</t>
        </is>
      </c>
      <c r="E554" s="7" t="n">
        <v>0</v>
      </c>
    </row>
    <row r="555">
      <c r="A555" s="7" t="inlineStr">
        <is>
          <t>Assets/Scripts/Dungeon Generator/Mapparametersso Big.asset</t>
        </is>
      </c>
      <c r="B555" s="7" t="inlineStr">
        <is>
          <t>(asset)</t>
        </is>
      </c>
      <c r="C555" s="7" t="inlineStr">
        <is>
          <t>Mapparametersso</t>
        </is>
      </c>
      <c r="D555" s="7" t="inlineStr">
        <is>
          <t>maxRepositionAttempts</t>
        </is>
      </c>
      <c r="E555" s="7" t="n">
        <v>30</v>
      </c>
    </row>
    <row r="556">
      <c r="A556" s="7" t="inlineStr">
        <is>
          <t>Assets/Scripts/Dungeon Generator/Mapparametersso Big.asset</t>
        </is>
      </c>
      <c r="B556" s="7" t="inlineStr">
        <is>
          <t>(asset)</t>
        </is>
      </c>
      <c r="C556" s="7" t="inlineStr">
        <is>
          <t>Mapparametersso</t>
        </is>
      </c>
      <c r="D556" s="7" t="inlineStr">
        <is>
          <t>repositionSearchRadius</t>
        </is>
      </c>
      <c r="E556" s="7" t="n">
        <v>5</v>
      </c>
    </row>
    <row r="557">
      <c r="A557" s="7" t="inlineStr">
        <is>
          <t>Assets/Scripts/Dungeon Generator/Mapparametersso Big.asset</t>
        </is>
      </c>
      <c r="B557" s="7" t="inlineStr">
        <is>
          <t>(asset)</t>
        </is>
      </c>
      <c r="C557" s="7" t="inlineStr">
        <is>
          <t>Mapparametersso</t>
        </is>
      </c>
      <c r="D557" s="7" t="inlineStr">
        <is>
          <t>startRoomToArteryDistance</t>
        </is>
      </c>
      <c r="E557" s="7" t="n">
        <v>12</v>
      </c>
    </row>
    <row r="558">
      <c r="A558" s="7" t="inlineStr">
        <is>
          <t>Assets/Scripts/Dungeon Generator/Mapparametersso Big.asset</t>
        </is>
      </c>
      <c r="B558" s="7" t="inlineStr">
        <is>
          <t>(asset)</t>
        </is>
      </c>
      <c r="C558" s="7" t="inlineStr">
        <is>
          <t>Mapparametersso</t>
        </is>
      </c>
      <c r="D558" s="7" t="inlineStr">
        <is>
          <t>minStartToEndDistance</t>
        </is>
      </c>
      <c r="E558" s="7" t="n">
        <v>40</v>
      </c>
    </row>
    <row r="559">
      <c r="A559" s="7" t="inlineStr">
        <is>
          <t>Assets/Scripts/Dungeon Generator/Mapparametersso Big.asset</t>
        </is>
      </c>
      <c r="B559" s="7" t="inlineStr">
        <is>
          <t>(asset)</t>
        </is>
      </c>
      <c r="C559" s="7" t="inlineStr">
        <is>
          <t>Mapparametersso</t>
        </is>
      </c>
      <c r="D559" s="7" t="inlineStr">
        <is>
          <t>roomRotationChance</t>
        </is>
      </c>
      <c r="E559" s="7" t="n">
        <v>0.5</v>
      </c>
    </row>
    <row r="560">
      <c r="A560" s="7" t="inlineStr">
        <is>
          <t>Assets/Scripts/Dungeon Generator/Mapparametersso Big.asset</t>
        </is>
      </c>
      <c r="B560" s="7" t="inlineStr">
        <is>
          <t>(asset)</t>
        </is>
      </c>
      <c r="C560" s="7" t="inlineStr">
        <is>
          <t>Mapparametersso</t>
        </is>
      </c>
      <c r="D560" s="7" t="inlineStr">
        <is>
          <t>corridorWidth</t>
        </is>
      </c>
      <c r="E560" s="7" t="n">
        <v>4</v>
      </c>
    </row>
    <row r="561">
      <c r="A561" s="7" t="inlineStr">
        <is>
          <t>Assets/Scripts/Dungeon Generator/Mapparametersso.asset</t>
        </is>
      </c>
      <c r="B561" s="7" t="inlineStr">
        <is>
          <t>(asset)</t>
        </is>
      </c>
      <c r="C561" s="7" t="inlineStr">
        <is>
          <t>Mapparametersso</t>
        </is>
      </c>
      <c r="D561" s="7" t="inlineStr">
        <is>
          <t>nodeCount</t>
        </is>
      </c>
      <c r="E561" s="7" t="n">
        <v>7</v>
      </c>
    </row>
    <row r="562">
      <c r="A562" s="7" t="inlineStr">
        <is>
          <t>Assets/Scripts/Dungeon Generator/Mapparametersso.asset</t>
        </is>
      </c>
      <c r="B562" s="7" t="inlineStr">
        <is>
          <t>(asset)</t>
        </is>
      </c>
      <c r="C562" s="7" t="inlineStr">
        <is>
          <t>Mapparametersso</t>
        </is>
      </c>
      <c r="D562" s="7" t="inlineStr">
        <is>
          <t>mainRoomSpacing</t>
        </is>
      </c>
      <c r="E562" s="7" t="n">
        <v>6</v>
      </c>
    </row>
    <row r="563">
      <c r="A563" s="7" t="inlineStr">
        <is>
          <t>Assets/Scripts/Dungeon Generator/Mapparametersso.asset</t>
        </is>
      </c>
      <c r="B563" s="7" t="inlineStr">
        <is>
          <t>(asset)</t>
        </is>
      </c>
      <c r="C563" s="7" t="inlineStr">
        <is>
          <t>Mapparametersso</t>
        </is>
      </c>
      <c r="D563" s="7" t="inlineStr">
        <is>
          <t>chanceForLTurn</t>
        </is>
      </c>
      <c r="E563" s="7" t="n">
        <v>0.3</v>
      </c>
    </row>
    <row r="564">
      <c r="A564" s="7" t="inlineStr">
        <is>
          <t>Assets/Scripts/Dungeon Generator/Mapparametersso.asset</t>
        </is>
      </c>
      <c r="B564" s="7" t="inlineStr">
        <is>
          <t>(asset)</t>
        </is>
      </c>
      <c r="C564" s="7" t="inlineStr">
        <is>
          <t>Mapparametersso</t>
        </is>
      </c>
      <c r="D564" s="7" t="inlineStr">
        <is>
          <t>mainArteryPositionJitter</t>
        </is>
      </c>
      <c r="E564" s="7" t="n">
        <v>2</v>
      </c>
    </row>
    <row r="565">
      <c r="A565" s="7" t="inlineStr">
        <is>
          <t>Assets/Scripts/Dungeon Generator/Mapparametersso.asset</t>
        </is>
      </c>
      <c r="B565" s="7" t="inlineStr">
        <is>
          <t>(asset)</t>
        </is>
      </c>
      <c r="C565" s="7" t="inlineStr">
        <is>
          <t>Mapparametersso</t>
        </is>
      </c>
      <c r="D565" s="7" t="inlineStr">
        <is>
          <t>distributiveNodeChancePerSegment</t>
        </is>
      </c>
      <c r="E565" s="7" t="n">
        <v>0.858</v>
      </c>
    </row>
    <row r="566">
      <c r="A566" s="7" t="inlineStr">
        <is>
          <t>Assets/Scripts/Dungeon Generator/Mapparametersso.asset</t>
        </is>
      </c>
      <c r="B566" s="7" t="inlineStr">
        <is>
          <t>(asset)</t>
        </is>
      </c>
      <c r="C566" s="7" t="inlineStr">
        <is>
          <t>Mapparametersso</t>
        </is>
      </c>
      <c r="D566" s="7" t="inlineStr">
        <is>
          <t>minLeafNodesPerDistributive</t>
        </is>
      </c>
      <c r="E566" s="7" t="n">
        <v>1</v>
      </c>
    </row>
    <row r="567">
      <c r="A567" s="7" t="inlineStr">
        <is>
          <t>Assets/Scripts/Dungeon Generator/Mapparametersso.asset</t>
        </is>
      </c>
      <c r="B567" s="7" t="inlineStr">
        <is>
          <t>(asset)</t>
        </is>
      </c>
      <c r="C567" s="7" t="inlineStr">
        <is>
          <t>Mapparametersso</t>
        </is>
      </c>
      <c r="D567" s="7" t="inlineStr">
        <is>
          <t>maxLeafNodesPerDistributive</t>
        </is>
      </c>
      <c r="E567" s="7" t="n">
        <v>3</v>
      </c>
    </row>
    <row r="568">
      <c r="A568" s="7" t="inlineStr">
        <is>
          <t>Assets/Scripts/Dungeon Generator/Mapparametersso.asset</t>
        </is>
      </c>
      <c r="B568" s="7" t="inlineStr">
        <is>
          <t>(asset)</t>
        </is>
      </c>
      <c r="C568" s="7" t="inlineStr">
        <is>
          <t>Mapparametersso</t>
        </is>
      </c>
      <c r="D568" s="7" t="inlineStr">
        <is>
          <t>leafBranchLength</t>
        </is>
      </c>
      <c r="E568" s="7" t="n">
        <v>6</v>
      </c>
    </row>
    <row r="569">
      <c r="A569" s="7" t="inlineStr">
        <is>
          <t>Assets/Scripts/Dungeon Generator/Mapparametersso.asset</t>
        </is>
      </c>
      <c r="B569" s="7" t="inlineStr">
        <is>
          <t>(asset)</t>
        </is>
      </c>
      <c r="C569" s="7" t="inlineStr">
        <is>
          <t>Mapparametersso</t>
        </is>
      </c>
      <c r="D569" s="7" t="inlineStr">
        <is>
          <t>leafNodePositionJitter</t>
        </is>
      </c>
      <c r="E569" s="7" t="n">
        <v>1.5</v>
      </c>
    </row>
    <row r="570">
      <c r="A570" s="7" t="inlineStr">
        <is>
          <t>Assets/Scripts/Dungeon Generator/Mapparametersso.asset</t>
        </is>
      </c>
      <c r="B570" s="7" t="inlineStr">
        <is>
          <t>(asset)</t>
        </is>
      </c>
      <c r="C570" s="7" t="inlineStr">
        <is>
          <t>Mapparametersso</t>
        </is>
      </c>
      <c r="D570" s="7" t="inlineStr">
        <is>
          <t>baseStartRoomSize</t>
        </is>
      </c>
      <c r="E570" s="7" t="inlineStr">
        <is>
          <t>(6, 6)</t>
        </is>
      </c>
    </row>
    <row r="571">
      <c r="A571" s="7" t="inlineStr">
        <is>
          <t>Assets/Scripts/Dungeon Generator/Mapparametersso.asset</t>
        </is>
      </c>
      <c r="B571" s="7" t="inlineStr">
        <is>
          <t>(asset)</t>
        </is>
      </c>
      <c r="C571" s="7" t="inlineStr">
        <is>
          <t>Mapparametersso</t>
        </is>
      </c>
      <c r="D571" s="7" t="inlineStr">
        <is>
          <t>baseEndRoomSize</t>
        </is>
      </c>
      <c r="E571" s="7" t="inlineStr">
        <is>
          <t>(8, 8)</t>
        </is>
      </c>
    </row>
    <row r="572">
      <c r="A572" s="7" t="inlineStr">
        <is>
          <t>Assets/Scripts/Dungeon Generator/Mapparametersso.asset</t>
        </is>
      </c>
      <c r="B572" s="7" t="inlineStr">
        <is>
          <t>(asset)</t>
        </is>
      </c>
      <c r="C572" s="7" t="inlineStr">
        <is>
          <t>Mapparametersso</t>
        </is>
      </c>
      <c r="D572" s="7" t="inlineStr">
        <is>
          <t>baseMainArteryRoomSize</t>
        </is>
      </c>
      <c r="E572" s="7" t="inlineStr">
        <is>
          <t>(7, 7)</t>
        </is>
      </c>
    </row>
    <row r="573">
      <c r="A573" s="7" t="inlineStr">
        <is>
          <t>Assets/Scripts/Dungeon Generator/Mapparametersso.asset</t>
        </is>
      </c>
      <c r="B573" s="7" t="inlineStr">
        <is>
          <t>(asset)</t>
        </is>
      </c>
      <c r="C573" s="7" t="inlineStr">
        <is>
          <t>Mapparametersso</t>
        </is>
      </c>
      <c r="D573" s="7" t="inlineStr">
        <is>
          <t>baseDistributiveRoomSize</t>
        </is>
      </c>
      <c r="E573" s="7" t="inlineStr">
        <is>
          <t>(5, 5)</t>
        </is>
      </c>
    </row>
    <row r="574">
      <c r="A574" s="7" t="inlineStr">
        <is>
          <t>Assets/Scripts/Dungeon Generator/Mapparametersso.asset</t>
        </is>
      </c>
      <c r="B574" s="7" t="inlineStr">
        <is>
          <t>(asset)</t>
        </is>
      </c>
      <c r="C574" s="7" t="inlineStr">
        <is>
          <t>Mapparametersso</t>
        </is>
      </c>
      <c r="D574" s="7" t="inlineStr">
        <is>
          <t>baseLeafRoomSize</t>
        </is>
      </c>
      <c r="E574" s="7" t="inlineStr">
        <is>
          <t>(5, 5)</t>
        </is>
      </c>
    </row>
    <row r="575">
      <c r="A575" s="7" t="inlineStr">
        <is>
          <t>Assets/Scripts/Dungeon Generator/Mapparametersso.asset</t>
        </is>
      </c>
      <c r="B575" s="7" t="inlineStr">
        <is>
          <t>(asset)</t>
        </is>
      </c>
      <c r="C575" s="7" t="inlineStr">
        <is>
          <t>Mapparametersso</t>
        </is>
      </c>
      <c r="D575" s="7" t="inlineStr">
        <is>
          <t>baseCornerRoomSize</t>
        </is>
      </c>
      <c r="E575" s="7" t="inlineStr">
        <is>
          <t>(4, 4)</t>
        </is>
      </c>
    </row>
    <row r="576">
      <c r="A576" s="7" t="inlineStr">
        <is>
          <t>Assets/Scripts/Dungeon Generator/Mapparametersso.asset</t>
        </is>
      </c>
      <c r="B576" s="7" t="inlineStr">
        <is>
          <t>(asset)</t>
        </is>
      </c>
      <c r="C576" s="7" t="inlineStr">
        <is>
          <t>Mapparametersso</t>
        </is>
      </c>
      <c r="D576" s="7" t="inlineStr">
        <is>
          <t>roomSizeVariationPercentage</t>
        </is>
      </c>
      <c r="E576" s="7" t="n">
        <v>0.331</v>
      </c>
    </row>
    <row r="577">
      <c r="A577" s="7" t="inlineStr">
        <is>
          <t>Assets/Scripts/Dungeon Generator/Mapparametersso.asset</t>
        </is>
      </c>
      <c r="B577" s="7" t="inlineStr">
        <is>
          <t>(asset)</t>
        </is>
      </c>
      <c r="C577" s="7" t="inlineStr">
        <is>
          <t>Mapparametersso</t>
        </is>
      </c>
      <c r="D577" s="7" t="inlineStr">
        <is>
          <t>minRoomDistance</t>
        </is>
      </c>
      <c r="E577" s="7" t="n">
        <v>0</v>
      </c>
    </row>
    <row r="578">
      <c r="A578" s="7" t="inlineStr">
        <is>
          <t>Assets/Scripts/Dungeon Generator/Mapparametersso.asset</t>
        </is>
      </c>
      <c r="B578" s="7" t="inlineStr">
        <is>
          <t>(asset)</t>
        </is>
      </c>
      <c r="C578" s="7" t="inlineStr">
        <is>
          <t>Mapparametersso</t>
        </is>
      </c>
      <c r="D578" s="7" t="inlineStr">
        <is>
          <t>maxRepositionAttempts</t>
        </is>
      </c>
      <c r="E578" s="7" t="n">
        <v>30</v>
      </c>
    </row>
    <row r="579">
      <c r="A579" s="7" t="inlineStr">
        <is>
          <t>Assets/Scripts/Dungeon Generator/Mapparametersso.asset</t>
        </is>
      </c>
      <c r="B579" s="7" t="inlineStr">
        <is>
          <t>(asset)</t>
        </is>
      </c>
      <c r="C579" s="7" t="inlineStr">
        <is>
          <t>Mapparametersso</t>
        </is>
      </c>
      <c r="D579" s="7" t="inlineStr">
        <is>
          <t>repositionSearchRadius</t>
        </is>
      </c>
      <c r="E579" s="7" t="n">
        <v>5</v>
      </c>
    </row>
    <row r="580">
      <c r="A580" s="7" t="inlineStr">
        <is>
          <t>Assets/Scripts/Dungeon Generator/Mapparametersso.asset</t>
        </is>
      </c>
      <c r="B580" s="7" t="inlineStr">
        <is>
          <t>(asset)</t>
        </is>
      </c>
      <c r="C580" s="7" t="inlineStr">
        <is>
          <t>Mapparametersso</t>
        </is>
      </c>
      <c r="D580" s="7" t="inlineStr">
        <is>
          <t>startRoomToArteryDistance</t>
        </is>
      </c>
      <c r="E580" s="7" t="n">
        <v>12</v>
      </c>
    </row>
    <row r="581">
      <c r="A581" s="7" t="inlineStr">
        <is>
          <t>Assets/Scripts/Dungeon Generator/Mapparametersso.asset</t>
        </is>
      </c>
      <c r="B581" s="7" t="inlineStr">
        <is>
          <t>(asset)</t>
        </is>
      </c>
      <c r="C581" s="7" t="inlineStr">
        <is>
          <t>Mapparametersso</t>
        </is>
      </c>
      <c r="D581" s="7" t="inlineStr">
        <is>
          <t>minStartToEndDistance</t>
        </is>
      </c>
      <c r="E581" s="7" t="n">
        <v>40</v>
      </c>
    </row>
    <row r="582">
      <c r="A582" s="7" t="inlineStr">
        <is>
          <t>Assets/Scripts/Dungeon Generator/Mapparametersso.asset</t>
        </is>
      </c>
      <c r="B582" s="7" t="inlineStr">
        <is>
          <t>(asset)</t>
        </is>
      </c>
      <c r="C582" s="7" t="inlineStr">
        <is>
          <t>Mapparametersso</t>
        </is>
      </c>
      <c r="D582" s="7" t="inlineStr">
        <is>
          <t>roomRotationChance</t>
        </is>
      </c>
      <c r="E582" s="7" t="n">
        <v>0.5</v>
      </c>
    </row>
    <row r="583">
      <c r="A583" s="7" t="inlineStr">
        <is>
          <t>Assets/Scripts/Dungeon Generator/Mapparametersso.asset</t>
        </is>
      </c>
      <c r="B583" s="7" t="inlineStr">
        <is>
          <t>(asset)</t>
        </is>
      </c>
      <c r="C583" s="7" t="inlineStr">
        <is>
          <t>Mapparametersso</t>
        </is>
      </c>
      <c r="D583" s="7" t="inlineStr">
        <is>
          <t>corridorWidth</t>
        </is>
      </c>
      <c r="E583" s="7" t="n">
        <v>4</v>
      </c>
    </row>
    <row r="584">
      <c r="A584" s="7" t="inlineStr">
        <is>
          <t>Assets/Scripts/Weapons/MachineGun.asset</t>
        </is>
      </c>
      <c r="B584" s="7" t="inlineStr">
        <is>
          <t>(asset)</t>
        </is>
      </c>
      <c r="C584" s="7" t="inlineStr">
        <is>
          <t>WeaponData</t>
        </is>
      </c>
      <c r="D584" s="7" t="inlineStr">
        <is>
          <t>weaponName</t>
        </is>
      </c>
      <c r="E584" s="7" t="inlineStr">
        <is>
          <t>AK47</t>
        </is>
      </c>
    </row>
    <row r="585">
      <c r="A585" s="7" t="inlineStr">
        <is>
          <t>Assets/Scripts/Weapons/MachineGun.asset</t>
        </is>
      </c>
      <c r="B585" s="7" t="inlineStr">
        <is>
          <t>(asset)</t>
        </is>
      </c>
      <c r="C585" s="7" t="inlineStr">
        <is>
          <t>WeaponData</t>
        </is>
      </c>
      <c r="D585" s="7" t="inlineStr">
        <is>
          <t>weaponType</t>
        </is>
      </c>
      <c r="E585" s="7" t="n">
        <v>0</v>
      </c>
    </row>
    <row r="586">
      <c r="A586" s="7" t="inlineStr">
        <is>
          <t>Assets/Scripts/Weapons/MachineGun.asset</t>
        </is>
      </c>
      <c r="B586" s="7" t="inlineStr">
        <is>
          <t>(asset)</t>
        </is>
      </c>
      <c r="C586" s="7" t="inlineStr">
        <is>
          <t>WeaponData</t>
        </is>
      </c>
      <c r="D586" s="7" t="inlineStr">
        <is>
          <t>coneAngle</t>
        </is>
      </c>
      <c r="E586" s="7" t="n">
        <v>25</v>
      </c>
    </row>
    <row r="587">
      <c r="A587" s="7" t="inlineStr">
        <is>
          <t>Assets/Scripts/Weapons/MachineGun.asset</t>
        </is>
      </c>
      <c r="B587" s="7" t="inlineStr">
        <is>
          <t>(asset)</t>
        </is>
      </c>
      <c r="C587" s="7" t="inlineStr">
        <is>
          <t>WeaponData</t>
        </is>
      </c>
      <c r="D587" s="7" t="inlineStr">
        <is>
          <t>coneRange</t>
        </is>
      </c>
      <c r="E587" s="7" t="n">
        <v>30</v>
      </c>
    </row>
    <row r="588">
      <c r="A588" s="7" t="inlineStr">
        <is>
          <t>Assets/Scripts/Weapons/MachineGun.asset</t>
        </is>
      </c>
      <c r="B588" s="7" t="inlineStr">
        <is>
          <t>(asset)</t>
        </is>
      </c>
      <c r="C588" s="7" t="inlineStr">
        <is>
          <t>WeaponData</t>
        </is>
      </c>
      <c r="D588" s="7" t="inlineStr">
        <is>
          <t>fireRate</t>
        </is>
      </c>
      <c r="E588" s="7" t="n">
        <v>10</v>
      </c>
    </row>
    <row r="589">
      <c r="A589" s="7" t="inlineStr">
        <is>
          <t>Assets/Scripts/Weapons/MachineGun.asset</t>
        </is>
      </c>
      <c r="B589" s="7" t="inlineStr">
        <is>
          <t>(asset)</t>
        </is>
      </c>
      <c r="C589" s="7" t="inlineStr">
        <is>
          <t>WeaponData</t>
        </is>
      </c>
      <c r="D589" s="7" t="inlineStr">
        <is>
          <t>baseDamagePerShot</t>
        </is>
      </c>
      <c r="E589" s="7" t="n">
        <v>25</v>
      </c>
    </row>
    <row r="590">
      <c r="A590" s="7" t="inlineStr">
        <is>
          <t>Assets/Scripts/Weapons/MachineGun.asset</t>
        </is>
      </c>
      <c r="B590" s="7" t="inlineStr">
        <is>
          <t>(asset)</t>
        </is>
      </c>
      <c r="C590" s="7" t="inlineStr">
        <is>
          <t>WeaponData</t>
        </is>
      </c>
      <c r="D590" s="7" t="inlineStr">
        <is>
          <t>baseWidthMultiplier</t>
        </is>
      </c>
      <c r="E590" s="7" t="n">
        <v>1</v>
      </c>
    </row>
    <row r="591">
      <c r="A591" s="7" t="inlineStr">
        <is>
          <t>Assets/Scripts/Weapons/MachineGun.asset</t>
        </is>
      </c>
      <c r="B591" s="7" t="inlineStr">
        <is>
          <t>(asset)</t>
        </is>
      </c>
      <c r="C591" s="7" t="inlineStr">
        <is>
          <t>WeaponData</t>
        </is>
      </c>
      <c r="D591" s="7" t="inlineStr">
        <is>
          <t>topWidthMultiplier</t>
        </is>
      </c>
      <c r="E591" s="7" t="n">
        <v>0.45</v>
      </c>
    </row>
    <row r="592">
      <c r="A592" s="7" t="inlineStr">
        <is>
          <t>Assets/Scripts/Weapons/MachineGun.asset</t>
        </is>
      </c>
      <c r="B592" s="7" t="inlineStr">
        <is>
          <t>(asset)</t>
        </is>
      </c>
      <c r="C592" s="7" t="inlineStr">
        <is>
          <t>WeaponData</t>
        </is>
      </c>
      <c r="D592" s="7" t="inlineStr">
        <is>
          <t>baseDistanceRatio</t>
        </is>
      </c>
      <c r="E592" s="7" t="n">
        <v>0.08</v>
      </c>
    </row>
    <row r="593">
      <c r="A593" s="7" t="inlineStr">
        <is>
          <t>Assets/Scripts/Weapons/MachineGun.asset</t>
        </is>
      </c>
      <c r="B593" s="7" t="inlineStr">
        <is>
          <t>(asset)</t>
        </is>
      </c>
      <c r="C593" s="7" t="inlineStr">
        <is>
          <t>WeaponData</t>
        </is>
      </c>
      <c r="D593" s="7" t="inlineStr">
        <is>
          <t>shapeProfile</t>
        </is>
      </c>
      <c r="E593" s="7" t="n">
        <v>0</v>
      </c>
    </row>
    <row r="594">
      <c r="A594" s="7" t="inlineStr">
        <is>
          <t>Assets/Scripts/Weapons/MachineGun.asset</t>
        </is>
      </c>
      <c r="B594" s="7" t="inlineStr">
        <is>
          <t>(asset)</t>
        </is>
      </c>
      <c r="C594" s="7" t="inlineStr">
        <is>
          <t>WeaponData</t>
        </is>
      </c>
      <c r="D594" s="7" t="inlineStr">
        <is>
          <t>magazineCapacity</t>
        </is>
      </c>
      <c r="E594" s="7" t="n">
        <v>60</v>
      </c>
    </row>
    <row r="595">
      <c r="A595" s="7" t="inlineStr">
        <is>
          <t>Assets/Scripts/Weapons/MachineGun.asset</t>
        </is>
      </c>
      <c r="B595" s="7" t="inlineStr">
        <is>
          <t>(asset)</t>
        </is>
      </c>
      <c r="C595" s="7" t="inlineStr">
        <is>
          <t>WeaponData</t>
        </is>
      </c>
      <c r="D595" s="7" t="inlineStr">
        <is>
          <t>reloadTime</t>
        </is>
      </c>
      <c r="E595" s="7" t="n">
        <v>0.8</v>
      </c>
    </row>
    <row r="596">
      <c r="A596" s="7" t="inlineStr">
        <is>
          <t>Assets/Scripts/Weapons/MachineGun.asset</t>
        </is>
      </c>
      <c r="B596" s="7" t="inlineStr">
        <is>
          <t>(asset)</t>
        </is>
      </c>
      <c r="C596" s="7" t="inlineStr">
        <is>
          <t>WeaponData</t>
        </is>
      </c>
      <c r="D596" s="7" t="inlineStr">
        <is>
          <t>hasInfiniteReserve</t>
        </is>
      </c>
      <c r="E596" s="7" t="n">
        <v>1</v>
      </c>
    </row>
    <row r="597">
      <c r="A597" s="7" t="inlineStr">
        <is>
          <t>Assets/Scripts/Weapons/MachineGun.asset</t>
        </is>
      </c>
      <c r="B597" s="7" t="inlineStr">
        <is>
          <t>(asset)</t>
        </is>
      </c>
      <c r="C597" s="7" t="inlineStr">
        <is>
          <t>WeaponData</t>
        </is>
      </c>
      <c r="D597" s="7" t="inlineStr">
        <is>
          <t>maxPierceCount</t>
        </is>
      </c>
      <c r="E597" s="7" t="n">
        <v>3</v>
      </c>
    </row>
    <row r="598">
      <c r="A598" s="7" t="inlineStr">
        <is>
          <t>Assets/Scripts/Weapons/Pistol.asset</t>
        </is>
      </c>
      <c r="B598" s="7" t="inlineStr">
        <is>
          <t>(asset)</t>
        </is>
      </c>
      <c r="C598" s="7" t="inlineStr">
        <is>
          <t>WeaponData</t>
        </is>
      </c>
      <c r="D598" s="7" t="inlineStr">
        <is>
          <t>weaponName</t>
        </is>
      </c>
      <c r="E598" s="7" t="inlineStr">
        <is>
          <t>Pistol</t>
        </is>
      </c>
    </row>
    <row r="599">
      <c r="A599" s="7" t="inlineStr">
        <is>
          <t>Assets/Scripts/Weapons/Pistol.asset</t>
        </is>
      </c>
      <c r="B599" s="7" t="inlineStr">
        <is>
          <t>(asset)</t>
        </is>
      </c>
      <c r="C599" s="7" t="inlineStr">
        <is>
          <t>WeaponData</t>
        </is>
      </c>
      <c r="D599" s="7" t="inlineStr">
        <is>
          <t>weaponType</t>
        </is>
      </c>
      <c r="E599" s="7" t="n">
        <v>2</v>
      </c>
    </row>
    <row r="600">
      <c r="A600" s="7" t="inlineStr">
        <is>
          <t>Assets/Scripts/Weapons/Pistol.asset</t>
        </is>
      </c>
      <c r="B600" s="7" t="inlineStr">
        <is>
          <t>(asset)</t>
        </is>
      </c>
      <c r="C600" s="7" t="inlineStr">
        <is>
          <t>WeaponData</t>
        </is>
      </c>
      <c r="D600" s="7" t="inlineStr">
        <is>
          <t>coneAngle</t>
        </is>
      </c>
      <c r="E600" s="7" t="n">
        <v>15</v>
      </c>
    </row>
    <row r="601">
      <c r="A601" s="7" t="inlineStr">
        <is>
          <t>Assets/Scripts/Weapons/Pistol.asset</t>
        </is>
      </c>
      <c r="B601" s="7" t="inlineStr">
        <is>
          <t>(asset)</t>
        </is>
      </c>
      <c r="C601" s="7" t="inlineStr">
        <is>
          <t>WeaponData</t>
        </is>
      </c>
      <c r="D601" s="7" t="inlineStr">
        <is>
          <t>coneRange</t>
        </is>
      </c>
      <c r="E601" s="7" t="n">
        <v>30</v>
      </c>
    </row>
    <row r="602">
      <c r="A602" s="7" t="inlineStr">
        <is>
          <t>Assets/Scripts/Weapons/Pistol.asset</t>
        </is>
      </c>
      <c r="B602" s="7" t="inlineStr">
        <is>
          <t>(asset)</t>
        </is>
      </c>
      <c r="C602" s="7" t="inlineStr">
        <is>
          <t>WeaponData</t>
        </is>
      </c>
      <c r="D602" s="7" t="inlineStr">
        <is>
          <t>fireRate</t>
        </is>
      </c>
      <c r="E602" s="7" t="n">
        <v>2</v>
      </c>
    </row>
    <row r="603">
      <c r="A603" s="7" t="inlineStr">
        <is>
          <t>Assets/Scripts/Weapons/Pistol.asset</t>
        </is>
      </c>
      <c r="B603" s="7" t="inlineStr">
        <is>
          <t>(asset)</t>
        </is>
      </c>
      <c r="C603" s="7" t="inlineStr">
        <is>
          <t>WeaponData</t>
        </is>
      </c>
      <c r="D603" s="7" t="inlineStr">
        <is>
          <t>baseDamagePerShot</t>
        </is>
      </c>
      <c r="E603" s="7" t="n">
        <v>100</v>
      </c>
    </row>
    <row r="604">
      <c r="A604" s="7" t="inlineStr">
        <is>
          <t>Assets/Scripts/Weapons/Pistol.asset</t>
        </is>
      </c>
      <c r="B604" s="7" t="inlineStr">
        <is>
          <t>(asset)</t>
        </is>
      </c>
      <c r="C604" s="7" t="inlineStr">
        <is>
          <t>WeaponData</t>
        </is>
      </c>
      <c r="D604" s="7" t="inlineStr">
        <is>
          <t>baseWidthMultiplier</t>
        </is>
      </c>
      <c r="E604" s="7" t="n">
        <v>1</v>
      </c>
    </row>
    <row r="605">
      <c r="A605" s="7" t="inlineStr">
        <is>
          <t>Assets/Scripts/Weapons/Pistol.asset</t>
        </is>
      </c>
      <c r="B605" s="7" t="inlineStr">
        <is>
          <t>(asset)</t>
        </is>
      </c>
      <c r="C605" s="7" t="inlineStr">
        <is>
          <t>WeaponData</t>
        </is>
      </c>
      <c r="D605" s="7" t="inlineStr">
        <is>
          <t>topWidthMultiplier</t>
        </is>
      </c>
      <c r="E605" s="7" t="n">
        <v>0.7</v>
      </c>
    </row>
    <row r="606">
      <c r="A606" s="7" t="inlineStr">
        <is>
          <t>Assets/Scripts/Weapons/Pistol.asset</t>
        </is>
      </c>
      <c r="B606" s="7" t="inlineStr">
        <is>
          <t>(asset)</t>
        </is>
      </c>
      <c r="C606" s="7" t="inlineStr">
        <is>
          <t>WeaponData</t>
        </is>
      </c>
      <c r="D606" s="7" t="inlineStr">
        <is>
          <t>baseDistanceRatio</t>
        </is>
      </c>
      <c r="E606" s="7" t="n">
        <v>0.08</v>
      </c>
    </row>
    <row r="607">
      <c r="A607" s="7" t="inlineStr">
        <is>
          <t>Assets/Scripts/Weapons/Pistol.asset</t>
        </is>
      </c>
      <c r="B607" s="7" t="inlineStr">
        <is>
          <t>(asset)</t>
        </is>
      </c>
      <c r="C607" s="7" t="inlineStr">
        <is>
          <t>WeaponData</t>
        </is>
      </c>
      <c r="D607" s="7" t="inlineStr">
        <is>
          <t>shapeProfile</t>
        </is>
      </c>
      <c r="E607" s="7" t="n">
        <v>0</v>
      </c>
    </row>
    <row r="608">
      <c r="A608" s="7" t="inlineStr">
        <is>
          <t>Assets/Scripts/Weapons/Pistol.asset</t>
        </is>
      </c>
      <c r="B608" s="7" t="inlineStr">
        <is>
          <t>(asset)</t>
        </is>
      </c>
      <c r="C608" s="7" t="inlineStr">
        <is>
          <t>WeaponData</t>
        </is>
      </c>
      <c r="D608" s="7" t="inlineStr">
        <is>
          <t>magazineCapacity</t>
        </is>
      </c>
      <c r="E608" s="7" t="n">
        <v>12</v>
      </c>
    </row>
    <row r="609">
      <c r="A609" s="7" t="inlineStr">
        <is>
          <t>Assets/Scripts/Weapons/Pistol.asset</t>
        </is>
      </c>
      <c r="B609" s="7" t="inlineStr">
        <is>
          <t>(asset)</t>
        </is>
      </c>
      <c r="C609" s="7" t="inlineStr">
        <is>
          <t>WeaponData</t>
        </is>
      </c>
      <c r="D609" s="7" t="inlineStr">
        <is>
          <t>reloadTime</t>
        </is>
      </c>
      <c r="E609" s="7" t="n">
        <v>0.5</v>
      </c>
    </row>
    <row r="610">
      <c r="A610" s="7" t="inlineStr">
        <is>
          <t>Assets/Scripts/Weapons/Pistol.asset</t>
        </is>
      </c>
      <c r="B610" s="7" t="inlineStr">
        <is>
          <t>(asset)</t>
        </is>
      </c>
      <c r="C610" s="7" t="inlineStr">
        <is>
          <t>WeaponData</t>
        </is>
      </c>
      <c r="D610" s="7" t="inlineStr">
        <is>
          <t>hasInfiniteReserve</t>
        </is>
      </c>
      <c r="E610" s="7" t="n">
        <v>1</v>
      </c>
    </row>
    <row r="611">
      <c r="A611" s="7" t="inlineStr">
        <is>
          <t>Assets/Scripts/Weapons/Pistol.asset</t>
        </is>
      </c>
      <c r="B611" s="7" t="inlineStr">
        <is>
          <t>(asset)</t>
        </is>
      </c>
      <c r="C611" s="7" t="inlineStr">
        <is>
          <t>WeaponData</t>
        </is>
      </c>
      <c r="D611" s="7" t="inlineStr">
        <is>
          <t>maxPierceCount</t>
        </is>
      </c>
      <c r="E611" s="7" t="n">
        <v>10</v>
      </c>
    </row>
    <row r="612">
      <c r="A612" s="7" t="inlineStr">
        <is>
          <t>Assets/Scripts/Weapons/Shotgun.asset</t>
        </is>
      </c>
      <c r="B612" s="7" t="inlineStr">
        <is>
          <t>(asset)</t>
        </is>
      </c>
      <c r="C612" s="7" t="inlineStr">
        <is>
          <t>WeaponData</t>
        </is>
      </c>
      <c r="D612" s="7" t="inlineStr">
        <is>
          <t>weaponName</t>
        </is>
      </c>
      <c r="E612" s="7" t="inlineStr">
        <is>
          <t>Shotgun</t>
        </is>
      </c>
    </row>
    <row r="613">
      <c r="A613" s="7" t="inlineStr">
        <is>
          <t>Assets/Scripts/Weapons/Shotgun.asset</t>
        </is>
      </c>
      <c r="B613" s="7" t="inlineStr">
        <is>
          <t>(asset)</t>
        </is>
      </c>
      <c r="C613" s="7" t="inlineStr">
        <is>
          <t>WeaponData</t>
        </is>
      </c>
      <c r="D613" s="7" t="inlineStr">
        <is>
          <t>weaponType</t>
        </is>
      </c>
      <c r="E613" s="7" t="n">
        <v>1</v>
      </c>
    </row>
    <row r="614">
      <c r="A614" s="7" t="inlineStr">
        <is>
          <t>Assets/Scripts/Weapons/Shotgun.asset</t>
        </is>
      </c>
      <c r="B614" s="7" t="inlineStr">
        <is>
          <t>(asset)</t>
        </is>
      </c>
      <c r="C614" s="7" t="inlineStr">
        <is>
          <t>WeaponData</t>
        </is>
      </c>
      <c r="D614" s="7" t="inlineStr">
        <is>
          <t>coneAngle</t>
        </is>
      </c>
      <c r="E614" s="7" t="n">
        <v>20</v>
      </c>
    </row>
    <row r="615">
      <c r="A615" s="7" t="inlineStr">
        <is>
          <t>Assets/Scripts/Weapons/Shotgun.asset</t>
        </is>
      </c>
      <c r="B615" s="7" t="inlineStr">
        <is>
          <t>(asset)</t>
        </is>
      </c>
      <c r="C615" s="7" t="inlineStr">
        <is>
          <t>WeaponData</t>
        </is>
      </c>
      <c r="D615" s="7" t="inlineStr">
        <is>
          <t>coneRange</t>
        </is>
      </c>
      <c r="E615" s="7" t="n">
        <v>30</v>
      </c>
    </row>
    <row r="616">
      <c r="A616" s="7" t="inlineStr">
        <is>
          <t>Assets/Scripts/Weapons/Shotgun.asset</t>
        </is>
      </c>
      <c r="B616" s="7" t="inlineStr">
        <is>
          <t>(asset)</t>
        </is>
      </c>
      <c r="C616" s="7" t="inlineStr">
        <is>
          <t>WeaponData</t>
        </is>
      </c>
      <c r="D616" s="7" t="inlineStr">
        <is>
          <t>fireRate</t>
        </is>
      </c>
      <c r="E616" s="7" t="n">
        <v>3</v>
      </c>
    </row>
    <row r="617">
      <c r="A617" s="7" t="inlineStr">
        <is>
          <t>Assets/Scripts/Weapons/Shotgun.asset</t>
        </is>
      </c>
      <c r="B617" s="7" t="inlineStr">
        <is>
          <t>(asset)</t>
        </is>
      </c>
      <c r="C617" s="7" t="inlineStr">
        <is>
          <t>WeaponData</t>
        </is>
      </c>
      <c r="D617" s="7" t="inlineStr">
        <is>
          <t>baseDamagePerShot</t>
        </is>
      </c>
      <c r="E617" s="7" t="n">
        <v>150</v>
      </c>
    </row>
    <row r="618">
      <c r="A618" s="7" t="inlineStr">
        <is>
          <t>Assets/Scripts/Weapons/Shotgun.asset</t>
        </is>
      </c>
      <c r="B618" s="7" t="inlineStr">
        <is>
          <t>(asset)</t>
        </is>
      </c>
      <c r="C618" s="7" t="inlineStr">
        <is>
          <t>WeaponData</t>
        </is>
      </c>
      <c r="D618" s="7" t="inlineStr">
        <is>
          <t>baseWidthMultiplier</t>
        </is>
      </c>
      <c r="E618" s="7" t="n">
        <v>1</v>
      </c>
    </row>
    <row r="619">
      <c r="A619" s="7" t="inlineStr">
        <is>
          <t>Assets/Scripts/Weapons/Shotgun.asset</t>
        </is>
      </c>
      <c r="B619" s="7" t="inlineStr">
        <is>
          <t>(asset)</t>
        </is>
      </c>
      <c r="C619" s="7" t="inlineStr">
        <is>
          <t>WeaponData</t>
        </is>
      </c>
      <c r="D619" s="7" t="inlineStr">
        <is>
          <t>topWidthMultiplier</t>
        </is>
      </c>
      <c r="E619" s="7" t="n">
        <v>0.535</v>
      </c>
    </row>
    <row r="620">
      <c r="A620" s="7" t="inlineStr">
        <is>
          <t>Assets/Scripts/Weapons/Shotgun.asset</t>
        </is>
      </c>
      <c r="B620" s="7" t="inlineStr">
        <is>
          <t>(asset)</t>
        </is>
      </c>
      <c r="C620" s="7" t="inlineStr">
        <is>
          <t>WeaponData</t>
        </is>
      </c>
      <c r="D620" s="7" t="inlineStr">
        <is>
          <t>baseDistanceRatio</t>
        </is>
      </c>
      <c r="E620" s="7" t="n">
        <v>0.08</v>
      </c>
    </row>
    <row r="621">
      <c r="A621" s="7" t="inlineStr">
        <is>
          <t>Assets/Scripts/Weapons/Shotgun.asset</t>
        </is>
      </c>
      <c r="B621" s="7" t="inlineStr">
        <is>
          <t>(asset)</t>
        </is>
      </c>
      <c r="C621" s="7" t="inlineStr">
        <is>
          <t>WeaponData</t>
        </is>
      </c>
      <c r="D621" s="7" t="inlineStr">
        <is>
          <t>shapeProfile</t>
        </is>
      </c>
      <c r="E621" s="7" t="n">
        <v>0</v>
      </c>
    </row>
    <row r="622">
      <c r="A622" s="7" t="inlineStr">
        <is>
          <t>Assets/Scripts/Weapons/Shotgun.asset</t>
        </is>
      </c>
      <c r="B622" s="7" t="inlineStr">
        <is>
          <t>(asset)</t>
        </is>
      </c>
      <c r="C622" s="7" t="inlineStr">
        <is>
          <t>WeaponData</t>
        </is>
      </c>
      <c r="D622" s="7" t="inlineStr">
        <is>
          <t>recoilStrength</t>
        </is>
      </c>
      <c r="E622" s="7" t="n">
        <v>1</v>
      </c>
    </row>
    <row r="623">
      <c r="A623" s="7" t="inlineStr">
        <is>
          <t>Assets/Scripts/Weapons/Shotgun.asset</t>
        </is>
      </c>
      <c r="B623" s="7" t="inlineStr">
        <is>
          <t>(asset)</t>
        </is>
      </c>
      <c r="C623" s="7" t="inlineStr">
        <is>
          <t>WeaponData</t>
        </is>
      </c>
      <c r="D623" s="7" t="inlineStr">
        <is>
          <t>playerKnockback</t>
        </is>
      </c>
      <c r="E623" s="7" t="n">
        <v>10</v>
      </c>
    </row>
    <row r="624">
      <c r="A624" s="7" t="inlineStr">
        <is>
          <t>Assets/Scripts/Weapons/Shotgun.asset</t>
        </is>
      </c>
      <c r="B624" s="7" t="inlineStr">
        <is>
          <t>(asset)</t>
        </is>
      </c>
      <c r="C624" s="7" t="inlineStr">
        <is>
          <t>WeaponData</t>
        </is>
      </c>
      <c r="D624" s="7" t="inlineStr">
        <is>
          <t>magazineCapacity</t>
        </is>
      </c>
      <c r="E624" s="7" t="n">
        <v>2</v>
      </c>
    </row>
    <row r="625">
      <c r="A625" s="7" t="inlineStr">
        <is>
          <t>Assets/Scripts/Weapons/Shotgun.asset</t>
        </is>
      </c>
      <c r="B625" s="7" t="inlineStr">
        <is>
          <t>(asset)</t>
        </is>
      </c>
      <c r="C625" s="7" t="inlineStr">
        <is>
          <t>WeaponData</t>
        </is>
      </c>
      <c r="D625" s="7" t="inlineStr">
        <is>
          <t>reloadTime</t>
        </is>
      </c>
      <c r="E625" s="7" t="n">
        <v>1</v>
      </c>
    </row>
    <row r="626">
      <c r="A626" s="7" t="inlineStr">
        <is>
          <t>Assets/Scripts/Weapons/Shotgun.asset</t>
        </is>
      </c>
      <c r="B626" s="7" t="inlineStr">
        <is>
          <t>(asset)</t>
        </is>
      </c>
      <c r="C626" s="7" t="inlineStr">
        <is>
          <t>WeaponData</t>
        </is>
      </c>
      <c r="D626" s="7" t="inlineStr">
        <is>
          <t>hasInfiniteReserve</t>
        </is>
      </c>
      <c r="E626" s="7" t="n">
        <v>1</v>
      </c>
    </row>
    <row r="627">
      <c r="A627" s="7" t="inlineStr">
        <is>
          <t>Assets/Scripts/Weapons/Shotgun.asset</t>
        </is>
      </c>
      <c r="B627" s="7" t="inlineStr">
        <is>
          <t>(asset)</t>
        </is>
      </c>
      <c r="C627" s="7" t="inlineStr">
        <is>
          <t>WeaponData</t>
        </is>
      </c>
      <c r="D627" s="7" t="inlineStr">
        <is>
          <t>maxPierceCount</t>
        </is>
      </c>
      <c r="E627" s="7" t="n">
        <v>3</v>
      </c>
    </row>
  </sheetData>
  <autoFilter ref="A4:E6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2026-09-28T07:11:34Z</dcterms:created>
  <dcterms:modified xsi:type="dcterms:W3CDTF">2026-09-28T07:11:34Z</dcterms:modified>
</cp:coreProperties>
</file>